
<file path=[Content_Types].xml><?xml version="1.0" encoding="utf-8"?>
<Types xmlns="http://schemas.openxmlformats.org/package/2006/content-types">
  <Default Extension="bin" ContentType="application/vnd.openxmlformats-officedocument.spreadsheetml.printerSettings"/>
  <Default Extension="gif" ContentType="image/gif"/>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ink/ink1.xml" ContentType="application/inkml+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166925"/>
  <mc:AlternateContent xmlns:mc="http://schemas.openxmlformats.org/markup-compatibility/2006">
    <mc:Choice Requires="x15">
      <x15ac:absPath xmlns:x15ac="http://schemas.microsoft.com/office/spreadsheetml/2010/11/ac" url="/Users/sherylsmithies/Desktop/"/>
    </mc:Choice>
  </mc:AlternateContent>
  <xr:revisionPtr revIDLastSave="0" documentId="13_ncr:1_{0C1B6E95-40A4-1140-AF61-4253B6D40CFF}" xr6:coauthVersionLast="47" xr6:coauthVersionMax="47" xr10:uidLastSave="{00000000-0000-0000-0000-000000000000}"/>
  <bookViews>
    <workbookView xWindow="0" yWindow="700" windowWidth="33400" windowHeight="19900" activeTab="6" xr2:uid="{D335285D-1625-7641-84C7-DD297964408C}"/>
  </bookViews>
  <sheets>
    <sheet name="Full Estimate" sheetId="1" r:id="rId1"/>
    <sheet name="Records" sheetId="12" r:id="rId2"/>
    <sheet name="Whitening" sheetId="10" r:id="rId3"/>
    <sheet name="CBCT" sheetId="11" r:id="rId4"/>
    <sheet name="Inj Bonding 16" sheetId="6" r:id="rId5"/>
    <sheet name="Lookup Items" sheetId="2" r:id="rId6"/>
    <sheet name="Aesthetic pricing" sheetId="4" r:id="rId7"/>
    <sheet name="Pricing 2019" sheetId="3" r:id="rId8"/>
  </sheets>
  <definedNames>
    <definedName name="_xlnm.Print_Area" localSheetId="0">'Full Estimate'!$A$1:$N$183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0" i="1" l="1"/>
  <c r="M50" i="1" s="1"/>
  <c r="K51" i="1"/>
  <c r="M51" i="1" s="1"/>
  <c r="K52" i="1"/>
  <c r="M52" i="1" s="1"/>
  <c r="K53" i="1"/>
  <c r="M53" i="1" s="1"/>
  <c r="K54" i="1"/>
  <c r="M54" i="1" s="1"/>
  <c r="K55" i="1"/>
  <c r="M55" i="1" s="1"/>
  <c r="K56" i="1"/>
  <c r="M56" i="1" s="1"/>
  <c r="K57" i="1"/>
  <c r="M57" i="1" s="1"/>
  <c r="K58" i="1"/>
  <c r="M58" i="1" s="1"/>
  <c r="K59" i="1"/>
  <c r="M59" i="1" s="1"/>
  <c r="H50" i="1"/>
  <c r="H51" i="1"/>
  <c r="H52" i="1"/>
  <c r="H53" i="1"/>
  <c r="H54" i="1"/>
  <c r="H55" i="1"/>
  <c r="H56" i="1"/>
  <c r="H57" i="1"/>
  <c r="H58" i="1"/>
  <c r="H59" i="1"/>
  <c r="E50" i="1"/>
  <c r="E51" i="1"/>
  <c r="E52" i="1"/>
  <c r="E53" i="1"/>
  <c r="E54" i="1"/>
  <c r="E55" i="1"/>
  <c r="E56" i="1"/>
  <c r="E57" i="1"/>
  <c r="E58" i="1"/>
  <c r="E59" i="1"/>
  <c r="D158" i="1" l="1"/>
  <c r="D157" i="1"/>
  <c r="D156" i="1"/>
  <c r="E85" i="1"/>
  <c r="H85" i="1"/>
  <c r="K85" i="1"/>
  <c r="M85" i="1" s="1"/>
  <c r="E86" i="1"/>
  <c r="H86" i="1"/>
  <c r="K86" i="1"/>
  <c r="M86" i="1" s="1"/>
  <c r="E87" i="1"/>
  <c r="H87" i="1"/>
  <c r="K87" i="1"/>
  <c r="M87" i="1" s="1"/>
  <c r="E88" i="1"/>
  <c r="H88" i="1"/>
  <c r="K88" i="1"/>
  <c r="M88" i="1" s="1"/>
  <c r="K84" i="1"/>
  <c r="M84" i="1" s="1"/>
  <c r="H84" i="1"/>
  <c r="E84" i="1"/>
  <c r="K45" i="1"/>
  <c r="M45" i="1" s="1"/>
  <c r="K46" i="1"/>
  <c r="M46" i="1" s="1"/>
  <c r="K47" i="1"/>
  <c r="M47" i="1" s="1"/>
  <c r="K48" i="1"/>
  <c r="M48" i="1" s="1"/>
  <c r="K49" i="1"/>
  <c r="M49" i="1" s="1"/>
  <c r="K60" i="1"/>
  <c r="M60" i="1" s="1"/>
  <c r="K61" i="1"/>
  <c r="M61" i="1" s="1"/>
  <c r="K62" i="1"/>
  <c r="M62" i="1" s="1"/>
  <c r="K63" i="1"/>
  <c r="M63" i="1" s="1"/>
  <c r="K64" i="1"/>
  <c r="M64" i="1" s="1"/>
  <c r="K65" i="1"/>
  <c r="M65" i="1" s="1"/>
  <c r="K66" i="1"/>
  <c r="M66" i="1" s="1"/>
  <c r="K67" i="1"/>
  <c r="M67" i="1" s="1"/>
  <c r="K68" i="1"/>
  <c r="M68" i="1" s="1"/>
  <c r="K69" i="1"/>
  <c r="M69" i="1" s="1"/>
  <c r="H45" i="1"/>
  <c r="H46" i="1"/>
  <c r="H47" i="1"/>
  <c r="H48" i="1"/>
  <c r="H49" i="1"/>
  <c r="H60" i="1"/>
  <c r="H61" i="1"/>
  <c r="H62" i="1"/>
  <c r="H63" i="1"/>
  <c r="H64" i="1"/>
  <c r="H65" i="1"/>
  <c r="H66" i="1"/>
  <c r="H67" i="1"/>
  <c r="H68" i="1"/>
  <c r="H69" i="1"/>
  <c r="E45" i="1"/>
  <c r="E46" i="1"/>
  <c r="E47" i="1"/>
  <c r="E48" i="1"/>
  <c r="E49" i="1"/>
  <c r="E60" i="1"/>
  <c r="E61" i="1"/>
  <c r="E62" i="1"/>
  <c r="E63" i="1"/>
  <c r="E64" i="1"/>
  <c r="E65" i="1"/>
  <c r="E66" i="1"/>
  <c r="E67" i="1"/>
  <c r="E68" i="1"/>
  <c r="E69" i="1"/>
  <c r="K72" i="1"/>
  <c r="K73" i="1"/>
  <c r="M73" i="1" s="1"/>
  <c r="H73" i="1"/>
  <c r="E73" i="1"/>
  <c r="K39" i="11"/>
  <c r="M39" i="11" s="1"/>
  <c r="K40" i="11"/>
  <c r="M40" i="11" s="1"/>
  <c r="K41" i="11"/>
  <c r="M41" i="11" s="1"/>
  <c r="H39" i="11"/>
  <c r="H40" i="11"/>
  <c r="H41" i="11"/>
  <c r="E39" i="11"/>
  <c r="E40" i="11"/>
  <c r="E41" i="11"/>
  <c r="L16" i="6"/>
  <c r="C16" i="6"/>
  <c r="L16" i="11"/>
  <c r="C16" i="11"/>
  <c r="D172" i="6" l="1"/>
  <c r="D171" i="6"/>
  <c r="D170" i="6"/>
  <c r="D169" i="6"/>
  <c r="D168" i="6"/>
  <c r="D167" i="6"/>
  <c r="K100" i="6"/>
  <c r="M100" i="6" s="1"/>
  <c r="H100" i="6"/>
  <c r="E100" i="6"/>
  <c r="K99" i="6"/>
  <c r="M99" i="6" s="1"/>
  <c r="H99" i="6"/>
  <c r="E99" i="6"/>
  <c r="K98" i="6"/>
  <c r="M98" i="6" s="1"/>
  <c r="H98" i="6"/>
  <c r="E98" i="6"/>
  <c r="K97" i="6"/>
  <c r="M97" i="6" s="1"/>
  <c r="H97" i="6"/>
  <c r="E97" i="6"/>
  <c r="K96" i="6"/>
  <c r="M96" i="6" s="1"/>
  <c r="H96" i="6"/>
  <c r="E96" i="6"/>
  <c r="K89" i="6"/>
  <c r="M89" i="6" s="1"/>
  <c r="H89" i="6"/>
  <c r="E89" i="6"/>
  <c r="K88" i="6"/>
  <c r="M88" i="6" s="1"/>
  <c r="H88" i="6"/>
  <c r="E88" i="6"/>
  <c r="K87" i="6"/>
  <c r="M87" i="6" s="1"/>
  <c r="H87" i="6"/>
  <c r="E87" i="6"/>
  <c r="K86" i="6"/>
  <c r="M86" i="6" s="1"/>
  <c r="H86" i="6"/>
  <c r="E86" i="6"/>
  <c r="K85" i="6"/>
  <c r="M85" i="6" s="1"/>
  <c r="H85" i="6"/>
  <c r="E85" i="6"/>
  <c r="K84" i="6"/>
  <c r="M84" i="6" s="1"/>
  <c r="H84" i="6"/>
  <c r="E84" i="6"/>
  <c r="K83" i="6"/>
  <c r="M83" i="6" s="1"/>
  <c r="H83" i="6"/>
  <c r="E83" i="6"/>
  <c r="K82" i="6"/>
  <c r="M82" i="6" s="1"/>
  <c r="H82" i="6"/>
  <c r="E82" i="6"/>
  <c r="K81" i="6"/>
  <c r="M81" i="6" s="1"/>
  <c r="H81" i="6"/>
  <c r="E81" i="6"/>
  <c r="K80" i="6"/>
  <c r="M80" i="6" s="1"/>
  <c r="H80" i="6"/>
  <c r="E80" i="6"/>
  <c r="K79" i="6"/>
  <c r="M79" i="6" s="1"/>
  <c r="H79" i="6"/>
  <c r="E79" i="6"/>
  <c r="K78" i="6"/>
  <c r="M78" i="6" s="1"/>
  <c r="H78" i="6"/>
  <c r="E78" i="6"/>
  <c r="K77" i="6"/>
  <c r="M77" i="6" s="1"/>
  <c r="H77" i="6"/>
  <c r="E77" i="6"/>
  <c r="K76" i="6"/>
  <c r="M76" i="6" s="1"/>
  <c r="H76" i="6"/>
  <c r="E76" i="6"/>
  <c r="K75" i="6"/>
  <c r="M75" i="6" s="1"/>
  <c r="H75" i="6"/>
  <c r="E75" i="6"/>
  <c r="K74" i="6"/>
  <c r="M74" i="6" s="1"/>
  <c r="H74" i="6"/>
  <c r="E74" i="6"/>
  <c r="K73" i="6"/>
  <c r="M73" i="6" s="1"/>
  <c r="H73" i="6"/>
  <c r="E73" i="6"/>
  <c r="K72" i="6"/>
  <c r="M72" i="6" s="1"/>
  <c r="H72" i="6"/>
  <c r="E72" i="6"/>
  <c r="K71" i="6"/>
  <c r="M71" i="6" s="1"/>
  <c r="H71" i="6"/>
  <c r="E71" i="6"/>
  <c r="K70" i="6"/>
  <c r="M70" i="6" s="1"/>
  <c r="H70" i="6"/>
  <c r="E70" i="6"/>
  <c r="K69" i="6"/>
  <c r="M69" i="6" s="1"/>
  <c r="H69" i="6"/>
  <c r="E69" i="6"/>
  <c r="K68" i="6"/>
  <c r="M68" i="6" s="1"/>
  <c r="H68" i="6"/>
  <c r="E68" i="6"/>
  <c r="K67" i="6"/>
  <c r="M67" i="6" s="1"/>
  <c r="H67" i="6"/>
  <c r="E67" i="6"/>
  <c r="K66" i="6"/>
  <c r="M66" i="6" s="1"/>
  <c r="H66" i="6"/>
  <c r="E66" i="6"/>
  <c r="K65" i="6"/>
  <c r="M65" i="6" s="1"/>
  <c r="H65" i="6"/>
  <c r="E65" i="6"/>
  <c r="K64" i="6"/>
  <c r="M64" i="6" s="1"/>
  <c r="H64" i="6"/>
  <c r="E64" i="6"/>
  <c r="K63" i="6"/>
  <c r="M63" i="6" s="1"/>
  <c r="H63" i="6"/>
  <c r="E63" i="6"/>
  <c r="K62" i="6"/>
  <c r="M62" i="6" s="1"/>
  <c r="H62" i="6"/>
  <c r="E62" i="6"/>
  <c r="K61" i="6"/>
  <c r="M61" i="6" s="1"/>
  <c r="H61" i="6"/>
  <c r="E61" i="6"/>
  <c r="K60" i="6"/>
  <c r="M60" i="6" s="1"/>
  <c r="H60" i="6"/>
  <c r="E60" i="6"/>
  <c r="K59" i="6"/>
  <c r="M59" i="6" s="1"/>
  <c r="H59" i="6"/>
  <c r="E59" i="6"/>
  <c r="K58" i="6"/>
  <c r="M58" i="6" s="1"/>
  <c r="H58" i="6"/>
  <c r="E58" i="6"/>
  <c r="K57" i="6"/>
  <c r="M57" i="6" s="1"/>
  <c r="H57" i="6"/>
  <c r="E57" i="6"/>
  <c r="K56" i="6"/>
  <c r="M56" i="6" s="1"/>
  <c r="H56" i="6"/>
  <c r="E56" i="6"/>
  <c r="K55" i="6"/>
  <c r="M55" i="6" s="1"/>
  <c r="H55" i="6"/>
  <c r="E55" i="6"/>
  <c r="K54" i="6"/>
  <c r="M54" i="6" s="1"/>
  <c r="H54" i="6"/>
  <c r="E54" i="6"/>
  <c r="K53" i="6"/>
  <c r="M53" i="6" s="1"/>
  <c r="H53" i="6"/>
  <c r="E53" i="6"/>
  <c r="K52" i="6"/>
  <c r="M52" i="6" s="1"/>
  <c r="H52" i="6"/>
  <c r="E52" i="6"/>
  <c r="K51" i="6"/>
  <c r="M51" i="6" s="1"/>
  <c r="H51" i="6"/>
  <c r="E51" i="6"/>
  <c r="K50" i="6"/>
  <c r="M50" i="6" s="1"/>
  <c r="H50" i="6"/>
  <c r="E50" i="6"/>
  <c r="K49" i="6"/>
  <c r="M49" i="6" s="1"/>
  <c r="H49" i="6"/>
  <c r="E49" i="6"/>
  <c r="K48" i="6"/>
  <c r="M48" i="6" s="1"/>
  <c r="H48" i="6"/>
  <c r="E48" i="6"/>
  <c r="K47" i="6"/>
  <c r="M47" i="6" s="1"/>
  <c r="H47" i="6"/>
  <c r="E47" i="6"/>
  <c r="K46" i="6"/>
  <c r="M46" i="6" s="1"/>
  <c r="H46" i="6"/>
  <c r="E46" i="6"/>
  <c r="K45" i="6"/>
  <c r="M45" i="6" s="1"/>
  <c r="H45" i="6"/>
  <c r="E45" i="6"/>
  <c r="K44" i="6"/>
  <c r="M44" i="6" s="1"/>
  <c r="H44" i="6"/>
  <c r="E44" i="6"/>
  <c r="K38" i="11"/>
  <c r="M38" i="11" s="1"/>
  <c r="H38" i="11"/>
  <c r="E38" i="11"/>
  <c r="K37" i="11"/>
  <c r="M37" i="11" s="1"/>
  <c r="H37" i="11"/>
  <c r="E37" i="11"/>
  <c r="K36" i="11"/>
  <c r="M36" i="11" s="1"/>
  <c r="H36" i="11"/>
  <c r="E36" i="11"/>
  <c r="M101" i="6" l="1"/>
  <c r="M93" i="6"/>
  <c r="M102" i="6" s="1"/>
  <c r="L40" i="6" s="1"/>
  <c r="M92" i="6"/>
  <c r="M91" i="6"/>
  <c r="M90" i="6"/>
  <c r="M42" i="11"/>
  <c r="L32" i="11" s="1"/>
  <c r="D86" i="10"/>
  <c r="M45" i="10"/>
  <c r="H45" i="10"/>
  <c r="E45" i="10"/>
  <c r="M41" i="10"/>
  <c r="H41" i="10"/>
  <c r="E41" i="10"/>
  <c r="M40" i="10"/>
  <c r="H40" i="10"/>
  <c r="E40" i="10"/>
  <c r="M39" i="10"/>
  <c r="H39" i="10"/>
  <c r="E39" i="10"/>
  <c r="M38" i="10"/>
  <c r="H38" i="10"/>
  <c r="E38" i="10"/>
  <c r="L16" i="12"/>
  <c r="C16" i="12"/>
  <c r="D116" i="12"/>
  <c r="D115" i="12"/>
  <c r="D114" i="12"/>
  <c r="D113" i="12"/>
  <c r="D112" i="12"/>
  <c r="D111" i="12"/>
  <c r="K64" i="12"/>
  <c r="M64" i="12" s="1"/>
  <c r="H64" i="12"/>
  <c r="E64" i="12"/>
  <c r="K63" i="12"/>
  <c r="M63" i="12" s="1"/>
  <c r="H63" i="12"/>
  <c r="E63" i="12"/>
  <c r="K62" i="12"/>
  <c r="M62" i="12" s="1"/>
  <c r="H62" i="12"/>
  <c r="E62" i="12"/>
  <c r="K61" i="12"/>
  <c r="M61" i="12" s="1"/>
  <c r="H61" i="12"/>
  <c r="E61" i="12"/>
  <c r="K60" i="12"/>
  <c r="M60" i="12" s="1"/>
  <c r="M65" i="12" s="1"/>
  <c r="H60" i="12"/>
  <c r="E60" i="12"/>
  <c r="K53" i="12"/>
  <c r="M53" i="12" s="1"/>
  <c r="H53" i="12"/>
  <c r="E53" i="12"/>
  <c r="K52" i="12"/>
  <c r="M52" i="12" s="1"/>
  <c r="H52" i="12"/>
  <c r="E52" i="12"/>
  <c r="K51" i="12"/>
  <c r="M51" i="12" s="1"/>
  <c r="H51" i="12"/>
  <c r="E51" i="12"/>
  <c r="K50" i="12"/>
  <c r="M50" i="12" s="1"/>
  <c r="H50" i="12"/>
  <c r="E50" i="12"/>
  <c r="K49" i="12"/>
  <c r="M49" i="12" s="1"/>
  <c r="H49" i="12"/>
  <c r="E49" i="12"/>
  <c r="K48" i="12"/>
  <c r="M48" i="12" s="1"/>
  <c r="H48" i="12"/>
  <c r="E48" i="12"/>
  <c r="K47" i="12"/>
  <c r="M47" i="12" s="1"/>
  <c r="H47" i="12"/>
  <c r="E47" i="12"/>
  <c r="K46" i="12"/>
  <c r="M46" i="12" s="1"/>
  <c r="H46" i="12"/>
  <c r="E46" i="12"/>
  <c r="K45" i="12"/>
  <c r="M45" i="12" s="1"/>
  <c r="H45" i="12"/>
  <c r="E45" i="12"/>
  <c r="K44" i="12"/>
  <c r="M44" i="12" s="1"/>
  <c r="H44" i="12"/>
  <c r="E44" i="12"/>
  <c r="M46" i="10" l="1"/>
  <c r="M42" i="10"/>
  <c r="M47" i="10" s="1"/>
  <c r="L34" i="10" s="1"/>
  <c r="M56" i="12"/>
  <c r="M54" i="12"/>
  <c r="M55" i="12"/>
  <c r="M57" i="12" l="1"/>
  <c r="M66" i="12" s="1"/>
  <c r="L40" i="12" s="1"/>
  <c r="K76" i="1"/>
  <c r="M76" i="1" s="1"/>
  <c r="H76" i="1"/>
  <c r="E76" i="1"/>
  <c r="D155" i="1"/>
  <c r="D159" i="1"/>
  <c r="O22" i="2"/>
  <c r="O23" i="2"/>
  <c r="O24" i="2"/>
  <c r="O25" i="2"/>
  <c r="O27"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8" i="2"/>
  <c r="O89" i="2"/>
  <c r="O90"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8" i="2"/>
  <c r="O259" i="2"/>
  <c r="O260" i="2"/>
  <c r="O266" i="2"/>
  <c r="O267" i="2"/>
  <c r="O268" i="2"/>
  <c r="O269" i="2"/>
  <c r="O270" i="2"/>
  <c r="O271" i="2"/>
  <c r="O272" i="2"/>
  <c r="O273" i="2"/>
  <c r="O21" i="2"/>
  <c r="M72" i="1"/>
  <c r="H72" i="1"/>
  <c r="E72" i="1"/>
  <c r="K77" i="1"/>
  <c r="M77" i="1" s="1"/>
  <c r="H77" i="1"/>
  <c r="E77" i="1"/>
  <c r="K75" i="1"/>
  <c r="M75" i="1" s="1"/>
  <c r="H75" i="1"/>
  <c r="E75" i="1"/>
  <c r="M80" i="1" l="1"/>
  <c r="M78" i="1"/>
  <c r="M79" i="1"/>
  <c r="M89" i="1"/>
  <c r="J22" i="2"/>
  <c r="J23" i="2"/>
  <c r="J24" i="2"/>
  <c r="J25" i="2"/>
  <c r="J29" i="2"/>
  <c r="J30" i="2"/>
  <c r="J31" i="2"/>
  <c r="J32" i="2"/>
  <c r="J33" i="2"/>
  <c r="J34" i="2"/>
  <c r="J35" i="2"/>
  <c r="J36" i="2"/>
  <c r="J37" i="2"/>
  <c r="J39" i="2"/>
  <c r="J40" i="2"/>
  <c r="J41" i="2"/>
  <c r="J42" i="2"/>
  <c r="J43" i="2"/>
  <c r="J44" i="2"/>
  <c r="J45" i="2"/>
  <c r="J46" i="2"/>
  <c r="J47" i="2"/>
  <c r="J48" i="2"/>
  <c r="J49" i="2"/>
  <c r="J50" i="2"/>
  <c r="J51" i="2"/>
  <c r="J52" i="2"/>
  <c r="J53" i="2"/>
  <c r="J54" i="2"/>
  <c r="J55" i="2"/>
  <c r="J56" i="2"/>
  <c r="J57" i="2"/>
  <c r="J58" i="2"/>
  <c r="J60" i="2"/>
  <c r="J61" i="2"/>
  <c r="J62" i="2"/>
  <c r="J63" i="2"/>
  <c r="J64" i="2"/>
  <c r="J65" i="2"/>
  <c r="J66" i="2"/>
  <c r="J67" i="2"/>
  <c r="J68" i="2"/>
  <c r="J69" i="2"/>
  <c r="J70" i="2"/>
  <c r="J71" i="2"/>
  <c r="J72" i="2"/>
  <c r="J73" i="2"/>
  <c r="J74" i="2"/>
  <c r="J75" i="2"/>
  <c r="J76" i="2"/>
  <c r="J77" i="2"/>
  <c r="J78" i="2"/>
  <c r="J79" i="2"/>
  <c r="J80" i="2"/>
  <c r="J81" i="2"/>
  <c r="J82" i="2"/>
  <c r="J88" i="2"/>
  <c r="J89" i="2"/>
  <c r="J90"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8" i="2"/>
  <c r="J259" i="2"/>
  <c r="J260" i="2"/>
  <c r="J266" i="2"/>
  <c r="J267" i="2"/>
  <c r="J268" i="2"/>
  <c r="J269" i="2"/>
  <c r="J270" i="2"/>
  <c r="J271" i="2"/>
  <c r="J272" i="2"/>
  <c r="J273" i="2"/>
  <c r="J21" i="2"/>
  <c r="D154" i="1" l="1"/>
  <c r="E70" i="1"/>
  <c r="H70" i="1"/>
  <c r="K70" i="1"/>
  <c r="M70" i="1" s="1"/>
  <c r="E71" i="1"/>
  <c r="H71" i="1"/>
  <c r="K71" i="1"/>
  <c r="M71" i="1" s="1"/>
  <c r="E74" i="1"/>
  <c r="H74" i="1"/>
  <c r="K74" i="1"/>
  <c r="M74" i="1" s="1"/>
  <c r="M81" i="1" l="1"/>
  <c r="M90" i="1" s="1"/>
  <c r="L41" i="1" s="1"/>
  <c r="F195" i="2" l="1"/>
</calcChain>
</file>

<file path=xl/sharedStrings.xml><?xml version="1.0" encoding="utf-8"?>
<sst xmlns="http://schemas.openxmlformats.org/spreadsheetml/2006/main" count="1665" uniqueCount="599">
  <si>
    <t>Item Code</t>
  </si>
  <si>
    <t>Description</t>
  </si>
  <si>
    <t>Unit Cost</t>
  </si>
  <si>
    <t>Lookup Tables</t>
  </si>
  <si>
    <t>Per Unit Price</t>
  </si>
  <si>
    <t>Units</t>
  </si>
  <si>
    <t>Total</t>
  </si>
  <si>
    <t>Tooth Numbers</t>
  </si>
  <si>
    <t>Filler Procedure incl 1 syringe</t>
  </si>
  <si>
    <t>Filler Syringe (cost)</t>
  </si>
  <si>
    <t>Lab Fee</t>
  </si>
  <si>
    <t>Implant Fees</t>
  </si>
  <si>
    <t>Hair Filler</t>
  </si>
  <si>
    <t>Terms and Conditions</t>
  </si>
  <si>
    <t>Treatment</t>
  </si>
  <si>
    <t>Check Up</t>
  </si>
  <si>
    <t>Scale and Polish</t>
  </si>
  <si>
    <t>Restorations</t>
  </si>
  <si>
    <t>Root Canal</t>
  </si>
  <si>
    <t>Implants</t>
  </si>
  <si>
    <t>Whitening</t>
  </si>
  <si>
    <t>Consultation</t>
  </si>
  <si>
    <t>We are only able to guage the extent of your oral health if full x-rays are taken at your check up appointment.  If you elect not to have full mouth x-rays taken, we are not able to do a full and thorough examination.  Please note that certain things may be missed in this case.  Whilst x-rays give us the best tool possible to ascertain any areas of disease, there may still be certain areas that are outside of the x-rays' capabilities to pickup.</t>
  </si>
  <si>
    <t>Restorations are done to replace the tooth structure that has been damaged by decay or by fracture of the tooth.  Any and all decay or exisiting restoration is removed before the restoration is placed. The tooth may be sensitive after the restoration for a few days but should settle down.  Please note that the lifespan of this restoration is dependent on the environment in which it is kept.  The cleaner your oral environment, the longer the lifespan.  Please note that we do need to check these restorations every 6 months to ensure that no new decay is presenting around the edges of the restortation.  If the tooth does not settle down, please let us know.  Any restoration that is deep and close to the nerve may well present needing a root treatment in the near or distant future.</t>
  </si>
  <si>
    <t>Warranty</t>
  </si>
  <si>
    <t>1 year</t>
  </si>
  <si>
    <t>1 Year</t>
  </si>
  <si>
    <t>3 years</t>
  </si>
  <si>
    <t>Provisional crowns/prostheses</t>
  </si>
  <si>
    <t>Any provisional treatments whether restorations, crowns or prostheses on implants are very delicate.  Care should be taken to ensure that your oral habits do not influence the longevity of the provisional.  Please note that any breakage or loss of the provisional will be charged for accordingly.</t>
  </si>
  <si>
    <t>Descriptions</t>
  </si>
  <si>
    <t>ICD-10 Codes</t>
  </si>
  <si>
    <t>Sutures</t>
  </si>
  <si>
    <t>Treatment Type</t>
  </si>
  <si>
    <t>What to Expect and Aftercare</t>
  </si>
  <si>
    <t>1)</t>
  </si>
  <si>
    <t>2)</t>
  </si>
  <si>
    <t>3)</t>
  </si>
  <si>
    <t>If a bite plate was made for you, this is to be worn every night to ensure the protection of your teeth and new dental treatments.</t>
  </si>
  <si>
    <t>4)</t>
  </si>
  <si>
    <t>What to expect and Aftercare</t>
  </si>
  <si>
    <t>This consultation will cover 1 dental issue.  If 2 or more issues are presented, a full examination will be charged for.</t>
  </si>
  <si>
    <t>Dental plaque and calculus lead to disease in the oral environment.  Doing a clean every 6 months will ensure that the bulk of this is removed.  Thi prevents decay and gum disease.   Immaculate Oral Hygiene is to be kept inbetween dental visits.</t>
  </si>
  <si>
    <t>Scale and Polish treatment is done every 3-6 months to ensure that any plaque build up on your teeth is removed before it becomes calculus.  Please note that if our hygienists are not able to clean all your calculus off successfully in 1 visit, you will be asked to return for a deeper cleaning visit.  This will be charged for separately.  Also, impalnt cases and periodontal cases will need to see they hygienist every 3-4 months.  Your warranty will be dependent on this visit being kept.</t>
  </si>
  <si>
    <t xml:space="preserve">Root treated teeth do become brittle over time and hence a root treated tooth should have a crown placed on it to help protect it as soon as the root treatment has been completed.  We are unable to give a warranty on a root treated tooth if no crown has been placed.  There is a chance that the roots may fracture while we are busy and also a chance the a file may separate in the canals while we are cleaning.  These file shards may not be removed due to their position in the root.  One is to be aware that this does happen and it may affect the long term outcome of your tooth detrimentally.  However, most teeth with instruments in them do survive &gt;5years.  </t>
  </si>
  <si>
    <t>Crown and Bridge/ post and core</t>
  </si>
  <si>
    <t>Crown and Bridge treatments are done to protect your tooth structure, correct your bite, fill gaps of missing teeth as well as to help the aesthetics of your smile.  As much as these may seem like they are completely covering your teeth, they are still able to decay at the margin where the crown meets the root surface.  Thus, oral hygiene must remain immaculate to realise the full longevity of these treatments.  Please do not use your new investments like tools eg brekaing cotton, biting nails, opening packets, they will break.  Also, a bite plate will protect your new assets while you sleep.  If one was supplied to you please ensure that you use it every night.  We are unable to offer a warranty replacement if the bite plate was not worn.</t>
  </si>
  <si>
    <t>Filler</t>
  </si>
  <si>
    <t>Filler syr</t>
  </si>
  <si>
    <t>Skin booster</t>
  </si>
  <si>
    <t>Hair fill</t>
  </si>
  <si>
    <t>5)</t>
  </si>
  <si>
    <t>Implants are not a treatment that can be covered in terms of a warranty. There are too many factors that are out of our control that may affect the implant negatively.  If the impant is lost at either early (&lt;6months) or late (&gt;6 months) stage failure, the implant company will send us another replacement.  However, the costs of placing the implant will still be charged.  Please note that if you are a smoker you have a huge risk of the implant not integrating.  Please be aware of this and consider stopping smoking.  All implants require very specific and thorough care.  Please make sure that you keep your implants and their structures clean at all times.  We do receommend that implants with large prostheses on them be cleaned with the structures off every year.  Your oral hygiene visits need to be every 4 months and structure removed every year as a standard.  Failing to meet these criteria will mean possible implant failure and we will not be able to honor any warranty on the prosthetics.</t>
  </si>
  <si>
    <t>3 years on the crown &amp; bridge.  1 year on metal-acrylic.  Non on the implant body</t>
  </si>
  <si>
    <t>8110H</t>
  </si>
  <si>
    <t>8110I</t>
  </si>
  <si>
    <t>8145H</t>
  </si>
  <si>
    <t>8304E</t>
  </si>
  <si>
    <t>8304H</t>
  </si>
  <si>
    <t>8770B</t>
  </si>
  <si>
    <t>8770M</t>
  </si>
  <si>
    <t>9189H</t>
  </si>
  <si>
    <t>9189C</t>
  </si>
  <si>
    <t>Lab fee, approx. NOT FINAL AMOUNT</t>
  </si>
  <si>
    <t>Oral Examination</t>
  </si>
  <si>
    <t>Comprehensive examination</t>
  </si>
  <si>
    <t>Limited oral examination</t>
  </si>
  <si>
    <t>Intraoral radiograph - periapical</t>
  </si>
  <si>
    <t>Infection control per visit</t>
  </si>
  <si>
    <t>Sterilized instruments</t>
  </si>
  <si>
    <t>Sterilized instruments - hygienist</t>
  </si>
  <si>
    <t>Sterilized instruments - placement of implants</t>
  </si>
  <si>
    <t>Intraoral radiogragh - bitewing</t>
  </si>
  <si>
    <t>Panoramic radiograph/image</t>
  </si>
  <si>
    <t>Diagnostic models</t>
  </si>
  <si>
    <t>Wax-up of diagnostic models and treatment planning</t>
  </si>
  <si>
    <t>Oral and/or facial images (digital)</t>
  </si>
  <si>
    <t>Pulp tests</t>
  </si>
  <si>
    <t>Office/hospital visit</t>
  </si>
  <si>
    <t>Emergency dental treatment on tooth num.</t>
  </si>
  <si>
    <t xml:space="preserve">Emergency root canal treatment on tooth num. </t>
  </si>
  <si>
    <t>Recement onlay/crown/veneer on tooth num.</t>
  </si>
  <si>
    <t>Remove crown on tooth num.</t>
  </si>
  <si>
    <t>Access through a prosthetic crown/inlay on tooth num.</t>
  </si>
  <si>
    <t>Emergency crown (chair-side) on tooth num.</t>
  </si>
  <si>
    <t>Appointment not kept</t>
  </si>
  <si>
    <t>House/extended care facility/ hospital call</t>
  </si>
  <si>
    <t>Recement onlay/veneer on tooth num.</t>
  </si>
  <si>
    <t>Local anaesthetic</t>
  </si>
  <si>
    <t>Local anaesthetic - oral hygienist</t>
  </si>
  <si>
    <t>Resin bonding for restorations</t>
  </si>
  <si>
    <t>Use of dental operating microscope</t>
  </si>
  <si>
    <t>Oral hygiene instruction</t>
  </si>
  <si>
    <t>Oral examination - oral hygienist</t>
  </si>
  <si>
    <t>Polishing - complete dentition</t>
  </si>
  <si>
    <t>Removal of onlay/veneer on  tooth num.</t>
  </si>
  <si>
    <t>Re-burnishing and polishing of restorations</t>
  </si>
  <si>
    <t>Enamel microabrasion on tooth num.</t>
  </si>
  <si>
    <t>Prophylaxis - complete dentition</t>
  </si>
  <si>
    <t>Removal of gross calculus</t>
  </si>
  <si>
    <t>Topical application of fluoride - child</t>
  </si>
  <si>
    <t>Topical application of fluoride - adult</t>
  </si>
  <si>
    <t xml:space="preserve">Dental sealant on tooth num. </t>
  </si>
  <si>
    <t>Limited oral examination - oral hygienist</t>
  </si>
  <si>
    <t xml:space="preserve">Sedative filling on tooth num. </t>
  </si>
  <si>
    <t>Application of desensitising resin - per tooth</t>
  </si>
  <si>
    <t>Application of desensitising resin - per visit</t>
  </si>
  <si>
    <t>Occlusal guard</t>
  </si>
  <si>
    <t>Mouth guard</t>
  </si>
  <si>
    <t>Cost of orthodontic appliance</t>
  </si>
  <si>
    <t>Space maintainer - fixed, per abutment</t>
  </si>
  <si>
    <t>Space maintainer - removable</t>
  </si>
  <si>
    <t>Periodontal screening</t>
  </si>
  <si>
    <t>Re-examination - existing condition</t>
  </si>
  <si>
    <t>Consultation - second opinion or advice</t>
  </si>
  <si>
    <t>CBCT image capture - Full Lower Jaw scan</t>
  </si>
  <si>
    <t>CBCT image capture - Full Upper Jaw scan</t>
  </si>
  <si>
    <t>CBCT image capture - Full Upper and Lower Jaw scan</t>
  </si>
  <si>
    <t>Extraction of tooth num.</t>
  </si>
  <si>
    <t>Extraction (additional) of tooth num.</t>
  </si>
  <si>
    <t>Minimally traumatic removal of tooth/root num.</t>
  </si>
  <si>
    <t>CBCT image capture - Endo scan</t>
  </si>
  <si>
    <t>Surgical removal of residual roots of tooth num.</t>
  </si>
  <si>
    <t>Surgical removal of residual roots (additional) of tooth num.</t>
  </si>
  <si>
    <t>Temporary re-cementationof crown/bridge</t>
  </si>
  <si>
    <t>Complete dentures - maxillary and mandibular</t>
  </si>
  <si>
    <t>Complete dentures - maxillary or mandibular</t>
  </si>
  <si>
    <t>Partial denture - one tooth</t>
  </si>
  <si>
    <t>Partial denture - two teeth</t>
  </si>
  <si>
    <t>Partial denture - three teeth</t>
  </si>
  <si>
    <t>Partial denture - four teeth</t>
  </si>
  <si>
    <t>Partial denture - five teeth</t>
  </si>
  <si>
    <t>Partial denture - six teeth</t>
  </si>
  <si>
    <t>Partial denture - seven teeth</t>
  </si>
  <si>
    <t>Partial denture - eight teeth</t>
  </si>
  <si>
    <t>Partial denture - nine or more teeth</t>
  </si>
  <si>
    <t>Immediate denture - maxillary</t>
  </si>
  <si>
    <t>Immediate denture - mandibular</t>
  </si>
  <si>
    <t>Immediate denture - partial</t>
  </si>
  <si>
    <t>Clasp or rest - stainless steel</t>
  </si>
  <si>
    <t>Rebase complete or partial denture (laboratory)</t>
  </si>
  <si>
    <t>Reline complete or partial denture (chair-side)</t>
  </si>
  <si>
    <t>Reline complete or partial denture (laboratory)</t>
  </si>
  <si>
    <t>Repair denture or other intra-oral appliance</t>
  </si>
  <si>
    <t>Add clasp to existing partial denture</t>
  </si>
  <si>
    <t>Add tooth to existing partial denture</t>
  </si>
  <si>
    <t>Impression to repair or modify denture</t>
  </si>
  <si>
    <t>Adjust complete or partial denture</t>
  </si>
  <si>
    <t>Cast metal framework for partial denture</t>
  </si>
  <si>
    <t>Partial denture - Flexidenture framework</t>
  </si>
  <si>
    <t>Full denture - Flexidenture framework</t>
  </si>
  <si>
    <t>Direct pulp capping of tooth num.</t>
  </si>
  <si>
    <t>Indirect pulp capping of tooth num.</t>
  </si>
  <si>
    <t>Rubber dam</t>
  </si>
  <si>
    <t>Rubber dam - ENDO</t>
  </si>
  <si>
    <t>Rubber dam - oral hygienist</t>
  </si>
  <si>
    <t>Pulpotomy on tooth num.</t>
  </si>
  <si>
    <t>External bleaching/whitening</t>
  </si>
  <si>
    <t>Home tooth whitening procedure - instructions and applicator</t>
  </si>
  <si>
    <t>Supply of bleaching material</t>
  </si>
  <si>
    <t>Irrigation and medication per tooth at separate visit</t>
  </si>
  <si>
    <t>Internal bleaching of tooth num.</t>
  </si>
  <si>
    <t>Internal bleaching (additional visit) of tooth num.</t>
  </si>
  <si>
    <t xml:space="preserve">RCT - anterior/premolar additional canal (2nd visit) on tooth num. </t>
  </si>
  <si>
    <t>RCT - anterior/premolar additional canal (start to finish) on tooth num.</t>
  </si>
  <si>
    <t>Removal of root canal obstruction</t>
  </si>
  <si>
    <t>RCT preparatory visit - single canal tooth on tooth num.</t>
  </si>
  <si>
    <t xml:space="preserve">RCT preparatory visit - multi canal tooth on tooth num. </t>
  </si>
  <si>
    <t>Re-preparation of previously obturated tooth num.</t>
  </si>
  <si>
    <t xml:space="preserve">RCT - anterior/premolar (2nd visit) on tooth num. </t>
  </si>
  <si>
    <t>RCT - molar - 1st canal (2nd visit) on tooth num.</t>
  </si>
  <si>
    <t>RCT - molar  - each additional canal (2nd visit) on tooth num.</t>
  </si>
  <si>
    <t>RCT - anterior/premolar (start to finish) on tooth num.</t>
  </si>
  <si>
    <t xml:space="preserve">RCT - molar - 1st canal (start to finish) on tooth num. </t>
  </si>
  <si>
    <t xml:space="preserve">RCT - molar - each additional canal (start to finish) on tooth num. </t>
  </si>
  <si>
    <t>Carve restoration to accommodate existing denture</t>
  </si>
  <si>
    <t>Resin crown (direct) on tooth num.</t>
  </si>
  <si>
    <t>Resin filling - one surface (anterior) on tooth num.</t>
  </si>
  <si>
    <t>Resin filling - two surfaces (anterior) on tooth num.</t>
  </si>
  <si>
    <t>Resin filling - three surfaces (anterior) on tooth num.</t>
  </si>
  <si>
    <t>Resin filling - four surfaces (anterior) on tooth num.</t>
  </si>
  <si>
    <t>Resin veneer (chairside) on tooth num.</t>
  </si>
  <si>
    <t>Resin filling - one surface (posterior) on tooth num.</t>
  </si>
  <si>
    <t>Resin filling - two surfaces (posterior) on tooth num.</t>
  </si>
  <si>
    <t>Resin filling - three surfaces (posterior) on tooth num.</t>
  </si>
  <si>
    <t>Resin filling - four surfaces (posterior) on tooth num.</t>
  </si>
  <si>
    <t>Ceramic onlay - one surface on tooth num.</t>
  </si>
  <si>
    <t>Ceramic onlay - two surfaces on tooth num.</t>
  </si>
  <si>
    <t>Ceramic onlay - three surfaces on tooth num.</t>
  </si>
  <si>
    <t>Ceramic onlay - four surfaces on tooth num.</t>
  </si>
  <si>
    <t>Prefabricated resin crown on tooth num.</t>
  </si>
  <si>
    <t>Prefabricated post and core build-up of tooth num.</t>
  </si>
  <si>
    <t>Cost of prefabricated post</t>
  </si>
  <si>
    <t>Cast core with single post</t>
  </si>
  <si>
    <t>Cast post ( each additional)</t>
  </si>
  <si>
    <t>Coping - metal on tooth num.</t>
  </si>
  <si>
    <t>Core build-up with or without pins of tooth num.</t>
  </si>
  <si>
    <t>Temporary crown - resin on tooth num.</t>
  </si>
  <si>
    <t>Crown - full cast metal</t>
  </si>
  <si>
    <t>Crown - 3/4 cast metal</t>
  </si>
  <si>
    <t>Crown - resin (laboratory)</t>
  </si>
  <si>
    <t>Ceramic crown on tooth num.</t>
  </si>
  <si>
    <t>Provisional crown on tooth num.</t>
  </si>
  <si>
    <t>Crown - ceramic with metal on tooth num.</t>
  </si>
  <si>
    <t>Repair crown (permanent or provisional) of tooth num.</t>
  </si>
  <si>
    <t>Pontic - ceramic in position</t>
  </si>
  <si>
    <t>Pontic - ceramic fused to metal in position</t>
  </si>
  <si>
    <t>Provisional pontic in position</t>
  </si>
  <si>
    <t>Ovate pontic design in position</t>
  </si>
  <si>
    <t>Bridge retainer - ceramic on tooth num.</t>
  </si>
  <si>
    <t>Bridge retainer - ceramic+metal on tooth num.</t>
  </si>
  <si>
    <t>Provisional bridge retainer on tooth num.</t>
  </si>
  <si>
    <t>Recement bridge (per retainer) on tooth num.</t>
  </si>
  <si>
    <t xml:space="preserve">Sectioning of bridge retainer on tooth num. </t>
  </si>
  <si>
    <t>Remove bridge retainer (per retainer) on tooth num.</t>
  </si>
  <si>
    <t>Reimplantation of avulsed tooth</t>
  </si>
  <si>
    <t>Repair bridge (per retainer) on tooth num.</t>
  </si>
  <si>
    <t>Implant supported removable complete overdenture</t>
  </si>
  <si>
    <t>Implant supported removable partial overdenture</t>
  </si>
  <si>
    <t>Implant supported crown - ceramic+metal in position</t>
  </si>
  <si>
    <t>Implant-supported crown - ceramic in position</t>
  </si>
  <si>
    <t xml:space="preserve">Implant-supported provisional crown - cemented </t>
  </si>
  <si>
    <t xml:space="preserve">Implant-supported provisional crown - screw-retained </t>
  </si>
  <si>
    <t>Implant supported bridge retainer - ceramic+metal in position</t>
  </si>
  <si>
    <t>Implant-supported bridge retainer - ceramic in position</t>
  </si>
  <si>
    <t>Major occlusal adjustment</t>
  </si>
  <si>
    <t>Ceramic veneer on tooth num.</t>
  </si>
  <si>
    <t>Minor occlusal adjustment</t>
  </si>
  <si>
    <t>Resin veneer (laboratory) on tooth num.</t>
  </si>
  <si>
    <t>Implant-supported provisional crown retainer - cemented</t>
  </si>
  <si>
    <t>Implant-supported provisional crown retainer - screw-retained</t>
  </si>
  <si>
    <t>Prefabricated abutment in position</t>
  </si>
  <si>
    <t>Custom abutment in position</t>
  </si>
  <si>
    <t>Connector bar - implant supported</t>
  </si>
  <si>
    <t xml:space="preserve">Connector bar </t>
  </si>
  <si>
    <t>Stress breaker</t>
  </si>
  <si>
    <t>Implant maintenance procedures - per implant</t>
  </si>
  <si>
    <t>Repair of implant supported prosthesis</t>
  </si>
  <si>
    <t>Repair implant abutment in position</t>
  </si>
  <si>
    <t>Locks and milled rests</t>
  </si>
  <si>
    <t>Repair of implant supported provisional prosthesis</t>
  </si>
  <si>
    <t>Precision attachment (removable denture)</t>
  </si>
  <si>
    <t>Maryland retainer - cast metal on tooth num.</t>
  </si>
  <si>
    <t>Maryland retainer - ceramic on tooth num.</t>
  </si>
  <si>
    <t>Overdenture - complete</t>
  </si>
  <si>
    <t>Overdenture - partial</t>
  </si>
  <si>
    <t>Implant supported fixed-detachable complete overdenture</t>
  </si>
  <si>
    <t>Implant supported fixed-detachable partial overdenture</t>
  </si>
  <si>
    <t>Replacement of precision attachement</t>
  </si>
  <si>
    <t>Interim complete denture</t>
  </si>
  <si>
    <t>Interim partial denture</t>
  </si>
  <si>
    <t>Additional fee to implant supported fixed-detachable</t>
  </si>
  <si>
    <t>Crown cemented on screw-retained implant-supported structure</t>
  </si>
  <si>
    <t>Implant screw access closure</t>
  </si>
  <si>
    <t>Provisional splinting - extacoronal - per tooth</t>
  </si>
  <si>
    <t>Provisional splinting - extacoronal - per quadrant</t>
  </si>
  <si>
    <t>Provisional splinting - intracoronal - per tooth</t>
  </si>
  <si>
    <t>Incision &amp; drainage of abscess - intraoral</t>
  </si>
  <si>
    <t>Root planing - four or more teeth per quadrant</t>
  </si>
  <si>
    <t>Root planing - one to three teeth per quadrant</t>
  </si>
  <si>
    <t>Gingivectomy - four or more teeth per quadrant</t>
  </si>
  <si>
    <t>Gingivectomy - one to three teeth per quadrant</t>
  </si>
  <si>
    <t>Flap procedure -  root planing and curettage</t>
  </si>
  <si>
    <t>Flap procedure - root planing and bone surgery 1-3 teeth</t>
  </si>
  <si>
    <t>Flap procedure - rot planing and bone surgery 4 or more teeth</t>
  </si>
  <si>
    <t xml:space="preserve">Flap procedure - root planing one to three teeth per </t>
  </si>
  <si>
    <t xml:space="preserve">Flap procedure - root planing four or more teeth per </t>
  </si>
  <si>
    <t>Clinical crown lengthening procedure</t>
  </si>
  <si>
    <t>Pedicle flapped graft (isolated procedure)</t>
  </si>
  <si>
    <t>Bone regeneration/repair procedure as part of flap procedure</t>
  </si>
  <si>
    <t xml:space="preserve">Bone regeneration/repair procedure </t>
  </si>
  <si>
    <t>Unlisted periodontal procedure</t>
  </si>
  <si>
    <t>Cost of bone regenerative/repair material</t>
  </si>
  <si>
    <t xml:space="preserve">Cost of membrane </t>
  </si>
  <si>
    <t>Submucossal connective tissue autograft</t>
  </si>
  <si>
    <t>Guided tissue regeneration - resorbable barrier</t>
  </si>
  <si>
    <t>Unlisted oral medical procedure</t>
  </si>
  <si>
    <t>Placement of elastics and ligature wire</t>
  </si>
  <si>
    <t>Repair orthodontic appliance - removable</t>
  </si>
  <si>
    <t>Replace orthodontic appliance - removable</t>
  </si>
  <si>
    <t>Repair orthodontic appliance - fixed</t>
  </si>
  <si>
    <t>Fixed orthodontic retainer</t>
  </si>
  <si>
    <t>Occlusal orthotic appliance</t>
  </si>
  <si>
    <t>Ortho Rx - removable appliances</t>
  </si>
  <si>
    <t>Ortho Rx - fixed appliances (one arch)</t>
  </si>
  <si>
    <t>Ortho Rx - fixed appliances</t>
  </si>
  <si>
    <t>Monthly installment for ortho Rx</t>
  </si>
  <si>
    <t>Orthodontic re-treatment</t>
  </si>
  <si>
    <t>Telephonic/electronic consultation</t>
  </si>
  <si>
    <t>Treament of post-extraction haemorrhage</t>
  </si>
  <si>
    <t>Treatment of septic socket</t>
  </si>
  <si>
    <t>Atraumatic surgical extraction of tooth num.</t>
  </si>
  <si>
    <t>Surgical removal of impacted tooth - first tooth</t>
  </si>
  <si>
    <t>Surgical removal of impacted tooth - second tooth</t>
  </si>
  <si>
    <t>Surgical removal of impacted tooth - third and subsequent</t>
  </si>
  <si>
    <t>Surgical exposure of impacted or unerrupted tooth</t>
  </si>
  <si>
    <t>Frenulectomy</t>
  </si>
  <si>
    <t>Gingivectomy - per jaw</t>
  </si>
  <si>
    <t>Apicectomy - anteriors</t>
  </si>
  <si>
    <t>Apicectomy - posteriors</t>
  </si>
  <si>
    <t>Cost of surgical splint for placement of implant</t>
  </si>
  <si>
    <t>Surgical placement of implant in position</t>
  </si>
  <si>
    <t>Cost of endosteal implant body (per implant)</t>
  </si>
  <si>
    <t>Cost of prefabricated abutment (per abutment)</t>
  </si>
  <si>
    <t>Cost of healing abutment (per abutment)</t>
  </si>
  <si>
    <t>Cost of impression components (per component)</t>
  </si>
  <si>
    <t>Surgical placement of abutment (per abutment)</t>
  </si>
  <si>
    <t>Surgical placememt of abutment (per abutment)</t>
  </si>
  <si>
    <t>Placement of implant into fresh extraction socket in position</t>
  </si>
  <si>
    <t>Surgical removal of implant (per implant)</t>
  </si>
  <si>
    <t>IZ46.3</t>
  </si>
  <si>
    <t>IZ01.2</t>
  </si>
  <si>
    <t>IK03.6</t>
  </si>
  <si>
    <t>IK08.1</t>
  </si>
  <si>
    <t>IK04.0</t>
  </si>
  <si>
    <t>IK02.0</t>
  </si>
  <si>
    <t>IK02.1</t>
  </si>
  <si>
    <t>IK03.0</t>
  </si>
  <si>
    <t>IZ43.6</t>
  </si>
  <si>
    <t>IK05.6</t>
  </si>
  <si>
    <t>IK04.4</t>
  </si>
  <si>
    <t>IK07.3</t>
  </si>
  <si>
    <t>IZ02.1</t>
  </si>
  <si>
    <t>IK01.1</t>
  </si>
  <si>
    <t>Dr Sheryl Smithies BChD (PRET)</t>
  </si>
  <si>
    <t>t: +27 (0) 21 418 2048</t>
  </si>
  <si>
    <t>Dear</t>
  </si>
  <si>
    <t>I hope this letter finds you well.  Following your recent appointment and review of the available information, my advice for treatment is as per the following estimate.  This estimate details the necessary appointments and sequence of treatment.</t>
  </si>
  <si>
    <t>The expected costs or the proposed dental treatment are as follows:</t>
  </si>
  <si>
    <t>Proposed Treatment Plan:</t>
  </si>
  <si>
    <t>Domicilium Citandi Et Executandi</t>
  </si>
  <si>
    <t>General</t>
  </si>
  <si>
    <t>Cancellations</t>
  </si>
  <si>
    <t>Signed</t>
  </si>
  <si>
    <t>_________________________________</t>
  </si>
  <si>
    <t>Date:</t>
  </si>
  <si>
    <t>Kind Regards,</t>
  </si>
  <si>
    <t>Dr Sheryl Smithies</t>
  </si>
  <si>
    <t>Banking Details for EFT payments:</t>
  </si>
  <si>
    <t xml:space="preserve">Bank </t>
  </si>
  <si>
    <t>Branch code</t>
  </si>
  <si>
    <t>Acc Name</t>
  </si>
  <si>
    <t>Acc no</t>
  </si>
  <si>
    <t>Ref</t>
  </si>
  <si>
    <t>Your name and surname.</t>
  </si>
  <si>
    <t>Information about your treatment:</t>
  </si>
  <si>
    <t>Below is some information about what to expect with your treatment and advice on how to care for it.</t>
  </si>
  <si>
    <t>Any treatment will last better if kept in the most ideal conditions as below.  We suggest that the following should be done to ensure best health and longevity of your treatment.</t>
  </si>
  <si>
    <t>Dental Checkups to be maintained every 6 months unless otherwise specified below.  We are able to check on the health of the new treatmnt as well as monitor for any new problem areas arising.</t>
  </si>
  <si>
    <t>Dental cleans are to be done every 6 months unless otherwise specified below.  These keep the environment of your mouth healthy and ensure longevity of your teeth, gums and treatments.</t>
  </si>
  <si>
    <t>Any provisional fillings, crowns or bridges are brittle by nature.  Please be extra gentle on them.  Any breakages or repairs may be charged for over and above the cost of the treatment.</t>
  </si>
  <si>
    <t>In the event of implant failure (early or late stage), the costs of the replacement of the implant and the remake of the prosthesis will be charged for.   Any sundry costs will be charged for.   We will endeavour to use any components again however, there is no guarantee that they will fit the area when a new implant is placed.</t>
  </si>
  <si>
    <r>
      <t xml:space="preserve">                             </t>
    </r>
    <r>
      <rPr>
        <b/>
        <u/>
        <sz val="16"/>
        <color theme="1"/>
        <rFont val="Tahoma"/>
        <family val="2"/>
      </rPr>
      <t>TARIFF LISTING - ANDRE</t>
    </r>
  </si>
  <si>
    <t>CODE</t>
  </si>
  <si>
    <t>DESCRIPTION</t>
  </si>
  <si>
    <t>ICD 10</t>
  </si>
  <si>
    <t>TOTAL (NOT FINAL AMOUNT DUE TO APPROX. LAB FEE)</t>
  </si>
  <si>
    <t>Grand Total For This Estimate (including lab fee approximation)</t>
  </si>
  <si>
    <t>Total (including lab fee approximation)</t>
  </si>
  <si>
    <t>Prices include 15% VAT.  No refunds will be entertained on treatment provided.</t>
  </si>
  <si>
    <t>This estimate does not include any fees that other specialists may charge eg maxillofacial surgeons, periodontists, etc.</t>
  </si>
  <si>
    <t>I hereby elect the below mentioned address as the domicilium citandi et executandi at which I will accept service of all notices, processes and documents.</t>
  </si>
  <si>
    <t>This document contains the entire agreement between the parties and no party shall be bound by any undertaking, representations, warranties, promises or the like not recorded herein.</t>
  </si>
  <si>
    <t>Any indulgence by any party to another shall not prejudice the rights of such party not be deemed to be a novation of this agreement or a waiver of that party's rights against the other.</t>
  </si>
  <si>
    <t xml:space="preserve">I acknowledge that the dentist may be requirede to do additional work that is reasonably necessary and related to the procedure described in this estimate.  I further acknowledge that the need for any additional treatment may only become evident during the procedure and I agree to be charged for it.  I authorise the dentist to use his discretion in this regard.  I accept and acknowledge that I am liable for the estimated amount and any and all necessary and extra charges that  may be applicable.  </t>
  </si>
  <si>
    <t>Retention Post</t>
  </si>
  <si>
    <t>Provisional prostheses are temporary restorations that are made out of acrylic.  They are not strong but they will protect the teeth underneath them in the interim until such time as the permanent can be placed.  We will not be able to match your shade exactly however we will choose the basic shade that is closest to your teeth.  Please be super gentle on them as they can break quite easily.  Breakages may be charged for.</t>
  </si>
  <si>
    <t>Night Guard</t>
  </si>
  <si>
    <t xml:space="preserve">I, __________________________________________________ hereby accept this estimate from Dr Smithies ("the </t>
  </si>
  <si>
    <t>DSD</t>
  </si>
  <si>
    <t>A root treatment is done in 2 or 3 visits and it aimed at cleaning out and disinfecting the root canal/s of an infected tooth.  Antimicrobials will be placed in the tooth to kil the bacteria causing the infection.  These will stay in the tooth with a temporary filling for 2-4 weeks at a time.  The next visit may be to clean the canals again (if still infected) or to complete the root treatment with a permanant restoration.  Your tooth will be tender for a few days after each intervention but will settle.  If not settling or the filling breaks/falls out please let us know as a matter of emergency.  Be gentle on this tooth while it is healing.   It is a brittle tooth and thus I would request that you refrain from chewing hard or sticky substances on it until the crown has been placed.  Your tooth may be tender for a while after each visit, this is normal.  But if pain suddenly gets worse any time through the phases, please let us know.   Immaculate Oral Hygiene is to be kept inbetween dental visits.  It should be noted that there is a potential for a number of untoward outcomes to occur during a root treatment.  The chances are slim, however, should be taken into account when deciding whether a tooth should be root treated or not.  We would not attempt a root treatment unless we feel that the chances of these are very slim.  And if we feel there may be a higher risk, this will be discussed with you.  The types of potential negative outcomes would be file separation in the tooth, root perforation, root fracture and irrigant porting.  In the event of any of these occuring it will be discussed with you.</t>
  </si>
  <si>
    <t>Diagnostic models digital</t>
  </si>
  <si>
    <t>8309Z</t>
  </si>
  <si>
    <t>Zoom Whitening</t>
  </si>
  <si>
    <t>8309T</t>
  </si>
  <si>
    <t>Zoom TopUp</t>
  </si>
  <si>
    <r>
      <t xml:space="preserve">Kindly Read the </t>
    </r>
    <r>
      <rPr>
        <u/>
        <sz val="20"/>
        <color theme="1"/>
        <rFont val="Calibri"/>
        <family val="2"/>
        <scheme val="minor"/>
      </rPr>
      <t>Terms and Conditions</t>
    </r>
    <r>
      <rPr>
        <sz val="20"/>
        <color theme="1"/>
        <rFont val="Calibri"/>
        <family val="2"/>
        <scheme val="minor"/>
      </rPr>
      <t xml:space="preserve"> below, sign and send back to us</t>
    </r>
  </si>
  <si>
    <t>Aesthetic Bonding</t>
  </si>
  <si>
    <t>Rubber Dam</t>
  </si>
  <si>
    <t>8109P</t>
  </si>
  <si>
    <t xml:space="preserve">Infection Control per visit </t>
  </si>
  <si>
    <t>PPE and Infection Control</t>
  </si>
  <si>
    <t>Name:_____________________________________</t>
  </si>
  <si>
    <t>Address: _______________________________________________________________________________</t>
  </si>
  <si>
    <t>Sheryl Smithies</t>
  </si>
  <si>
    <t>Appointment Breakdown:</t>
  </si>
  <si>
    <t>Treatments</t>
  </si>
  <si>
    <t>Appointment Length</t>
  </si>
  <si>
    <t>Appointment 1</t>
  </si>
  <si>
    <t>Appointment 2</t>
  </si>
  <si>
    <t>Appointment 4</t>
  </si>
  <si>
    <t>Appointment 3</t>
  </si>
  <si>
    <t>3D Digital Smile Design, mockup and treatment planning</t>
  </si>
  <si>
    <t>FNB</t>
  </si>
  <si>
    <t>The Smile Emporium INC</t>
  </si>
  <si>
    <t>Practice Number: 0640867.    VAT 4250276690</t>
  </si>
  <si>
    <t>Provider</t>
  </si>
  <si>
    <t>8159F</t>
  </si>
  <si>
    <t>Lab fee, approx. NOT FINAL AMOUNT -Occlusal Guard</t>
  </si>
  <si>
    <t xml:space="preserve">Lab fee, approx. NOT FINAL AMOUNT - Bleach Tray </t>
  </si>
  <si>
    <t>8109H</t>
  </si>
  <si>
    <t>NeuroFrown</t>
  </si>
  <si>
    <t>NeuroFore</t>
  </si>
  <si>
    <t>NeuroEyes</t>
  </si>
  <si>
    <t>NeuroBunny</t>
  </si>
  <si>
    <t>NeuroTMJ</t>
  </si>
  <si>
    <t>Abotulinum Toxin Injections Frown</t>
  </si>
  <si>
    <t>Abotulinum Toxin Injections Forehead</t>
  </si>
  <si>
    <t>Abotulinum Toxin Injections Eyes</t>
  </si>
  <si>
    <t>Abotulinum Toxin Injections Bunny lines</t>
  </si>
  <si>
    <t>Abotulinum Toxin Injections TMJ</t>
  </si>
  <si>
    <t>Code</t>
  </si>
  <si>
    <t>Cost (incl VAT)</t>
  </si>
  <si>
    <t>NeuroTMJTemp</t>
  </si>
  <si>
    <t>Abotulinum Toxin Injections TMJ and Temporal Muscles</t>
  </si>
  <si>
    <t>Filler Procedure incl 1 syringe HA filler 1ml</t>
  </si>
  <si>
    <t>Skin Boosters including 1 syring HA filler 3ml</t>
  </si>
  <si>
    <t>Aptos EVCAHA</t>
  </si>
  <si>
    <t>Aptos Thread Lift with EVC HA Threads</t>
  </si>
  <si>
    <t>Aptos Basic</t>
  </si>
  <si>
    <t>Aptos Basic Threads each</t>
  </si>
  <si>
    <t>Aptos Linear</t>
  </si>
  <si>
    <t>Aptos Linear Thread Lift</t>
  </si>
  <si>
    <t>Lab fee, approx. NOT FINAL AMOUNT - DSD Report</t>
  </si>
  <si>
    <t>9099C</t>
  </si>
  <si>
    <t>Chlorhexidine Mouth Rinse</t>
  </si>
  <si>
    <t xml:space="preserve">Lab fee, approx. NOT FINAL AMOUNT - Fixed Retainer </t>
  </si>
  <si>
    <t>Lab fee, approx. NOT FINAL AMOUNT -Adam</t>
  </si>
  <si>
    <t xml:space="preserve">Lab fee, approx. NOT FINAL AMOUNT - Diceram </t>
  </si>
  <si>
    <t>8099SA</t>
  </si>
  <si>
    <t>8099SD</t>
  </si>
  <si>
    <t>8099SF</t>
  </si>
  <si>
    <t xml:space="preserve">Lab fee, approx. NOT FINAL AMOUNT - FK Dental </t>
  </si>
  <si>
    <t>8099SK</t>
  </si>
  <si>
    <t xml:space="preserve">Lab fee, approx. NOT FINAL AMOUNT - Krstl </t>
  </si>
  <si>
    <t xml:space="preserve">Lab fee, approx. NOT FINAL AMOUNT - Printed Models </t>
  </si>
  <si>
    <t>Lab fee, approx. NOT FINAL AMOUNT - Guide</t>
  </si>
  <si>
    <t>8099SS</t>
  </si>
  <si>
    <t xml:space="preserve">Lab fee, approx. NOT FINAL AMOUNT - Spark </t>
  </si>
  <si>
    <t>8849SD</t>
  </si>
  <si>
    <t xml:space="preserve">Suck down retainer </t>
  </si>
  <si>
    <t>8099SKS</t>
  </si>
  <si>
    <t xml:space="preserve">Lab fee, approx. NOT FINAL AMOUNT - Krstl setu-up </t>
  </si>
  <si>
    <t>8099SEM</t>
  </si>
  <si>
    <t>8099SEB</t>
  </si>
  <si>
    <t>8099SEG</t>
  </si>
  <si>
    <t>8099SER</t>
  </si>
  <si>
    <t xml:space="preserve">Lab fee, approx. NOT FINAL AMOUNT -Clear Retainer </t>
  </si>
  <si>
    <t>8099SEN</t>
  </si>
  <si>
    <t>8099SEDSD</t>
  </si>
  <si>
    <t>Lab fee, approx. NOT FINAL AMOUNT - Splint</t>
  </si>
  <si>
    <t>8099SES</t>
  </si>
  <si>
    <t>8099SEF</t>
  </si>
  <si>
    <t>Appointment 5</t>
  </si>
  <si>
    <t>Appointment 6</t>
  </si>
  <si>
    <t>Appointment 7</t>
  </si>
  <si>
    <t xml:space="preserve">e: nikita@enamel.clinic </t>
  </si>
  <si>
    <t>8110D</t>
  </si>
  <si>
    <t xml:space="preserve">Surgical Drapes </t>
  </si>
  <si>
    <t>NB: This estimate is valid for 6 months.  Fees increase at the beginning of each calendar year, therefore, fees will be adjusted accordingly should your treatment plan extend into a new year.  3rd party provider fees are subject to change depending on the provider.</t>
  </si>
  <si>
    <t>TOTAL (incl discount for our fees, excl 3rd party fees)</t>
  </si>
  <si>
    <t>No alteration, canelllation, variation of, or addition hereto shall be of any force or effect unless reduced to writing and signed by all parties to this agreement or their duly authorized representatives.</t>
  </si>
  <si>
    <t>Please note that any third party fees are just approximate costs.  The exchange rate plays a large role in the costs from the laboratory.  Please use these costs as a guideline.</t>
  </si>
  <si>
    <t>Appointments that are cancelled with less than 24 hours notice or missed altogether will be charged for at R550 for each half hour to cover surgery expenses.</t>
  </si>
  <si>
    <t>Initial</t>
  </si>
  <si>
    <t>6)</t>
  </si>
  <si>
    <t xml:space="preserve"> dentist") in the amount of R____________________________ for the work described herein and agree to pay this sum as per payment option set out below.</t>
  </si>
  <si>
    <t>Third Party Fees (PRICES SUBJECT TO VARY FROM SUPPLIERS)</t>
  </si>
  <si>
    <t>TOTAL</t>
  </si>
  <si>
    <t xml:space="preserve">               Patient's Left  </t>
  </si>
  <si>
    <t xml:space="preserve">                              Patient's Right</t>
  </si>
  <si>
    <t>Payment Options</t>
  </si>
  <si>
    <t>** this discount does not apply if other discounts have been granted above.</t>
  </si>
  <si>
    <t>Payment Option 2 = pay 50% deposit on acceptance of this estimate and 50% on the completion of treatment.</t>
  </si>
  <si>
    <t>Payment Option 3 = pay your treatment off with a 30% deposit and 6 equal monthly payments thereafter.</t>
  </si>
  <si>
    <t>** a 3% service fee will be applied to the total cost of this estimate.</t>
  </si>
  <si>
    <t>** if a payment is missed the full amount will then become payable directly or be handed over</t>
  </si>
  <si>
    <t>Sign</t>
  </si>
  <si>
    <t>** a separate contract will be signed for this</t>
  </si>
  <si>
    <t>We will guarantee your treatment for 3 years for veneers, crowns or bridges and 1 year for any other treatment from date of treatment dependent on the 6 monthly checkups, 6 monthly oral hygiene appointments being maintained.  The onus is on the patient to ensure that these appointments are made and kept religiously.  Also, if a night guard was supplied to you this must be worn religiously every night.  Accidents and habits such as chewing ice, biting nails or skin etc cannot be guaranteed unfortunately.  Any provisional treatments of a temporary nature cannot be guaranteed.  See point 4 above.</t>
  </si>
  <si>
    <t>T: +27 (0) 21 418 2048</t>
  </si>
  <si>
    <r>
      <t xml:space="preserve">Payment Option 1 = Upfront Payment via </t>
    </r>
    <r>
      <rPr>
        <u/>
        <sz val="20"/>
        <color rgb="FF000000"/>
        <rFont val="Calibri (Body)"/>
      </rPr>
      <t>EFT only</t>
    </r>
    <r>
      <rPr>
        <sz val="20"/>
        <color rgb="FF000000"/>
        <rFont val="Calibri"/>
        <family val="2"/>
        <scheme val="minor"/>
      </rPr>
      <t xml:space="preserve"> receives 5% discount on clinical fees </t>
    </r>
    <r>
      <rPr>
        <sz val="16"/>
        <color rgb="FF000000"/>
        <rFont val="Calibri (Body)"/>
      </rPr>
      <t>(excluding third party  fees)</t>
    </r>
  </si>
  <si>
    <t>** this does not apply to aligner therapy treatments</t>
  </si>
  <si>
    <t xml:space="preserve">A short appointment to ascertain the nature of your dental issue.  Treatment may or may not be done at this appointment.  X-rays, intra-oral scans, CBCT and photos may be taken and charged separately.  </t>
  </si>
  <si>
    <t>A full examination will be done which includes visual check up as well as full mouth x-rays.  These x-rays will help us diagnose disease and monitor areas in the mouth that are not visible to the eye.  A set of x-rays such as these will be taken once every 12 months unless there is deemed a need to do them more regularly. This appointment is usually done together with a dental cleaning.  Immaculate Oral Hygiene is to be kept inbetween dental visits.</t>
  </si>
  <si>
    <t>Restorations are placed when decay has started in your tooth.  The decay is removed and the space is then filled with composite filling material.  Your tooth may be tender and sensitive for 1 to 2 weeks after the filling is placed, this is the normal healing period.  Please let us know if the restoration does not settle of if the bite feels like it is slightly out, we can adjust it for you.  Immaculate Oral Hygiene is to be kept inbetween dental visits.  Your fillings are susceptible to the environment in which they are kept.  Please ensure you keep them clean by brushing well, flossing well and keeping a low-sugar diet.  Doing this will increase the longevity of your restorations</t>
  </si>
  <si>
    <t>This treatment will be spanned over 2 or 3 appointments.  If a post and core may be  placed this will be done at the initial visit, a digital impression will be taken and a provisional crown/bridge will be placed.  This provisional will be in situ until the laboratory has created the new permanent crown or bridge.  Be gentle on your provisional crown or bridge as it can break and loosen quite easily.  Your teeth and gums will be tender for a couple of days after teatment.  Take a pain killer as needed, rinse with salt water and let us know if you are worried that it may be getting worse.</t>
  </si>
  <si>
    <t>Implants are the best way to replace a tooth as long as you have enough bone in which to place it.  We are able to create or augment bone in certain cases.  The bone is very fragile and susceptible thus any irritation near the gum will cause the bone to resorb.  If this starts to occur around an implant, we may ultimately lose the implant. Thus, oral hygiene is the biggest determinant of implant longevity.  Smoking, diabetes, auto-immune diseases may also affect the implant placement or maintenance.  In these cases extra care is taken by the surgical team but must be supported by your home oral hygiene practices.  The implant may be placed the same day as the tooth is removed however there may also be a waiting period of 3 months while we wait for bone integration.  During this time you could have a provisional bridge or denture to fill the gap.  Once the implant has integrated we will expose it and start the process of making the prosthesis.  The implant longevity cannot be guaranteed due to reasons above, however, in the event of implant failure we will be given a new implant free of charge from the company.  There will, however, be costs to place the new implant as well as restorative cost considerations which will be discussed in the event of failure.</t>
  </si>
  <si>
    <t>Spark 20</t>
  </si>
  <si>
    <t>Spark 10</t>
  </si>
  <si>
    <t>Records</t>
  </si>
  <si>
    <t>Aligner Fees</t>
  </si>
  <si>
    <t>DISCOUNT 5% VALID 30 DAYS</t>
  </si>
  <si>
    <t>DISCOUNT 10% VALID FOR 30 DAYS</t>
  </si>
  <si>
    <t>DISCOUNT 15% VALID FOR 30 DAYS</t>
  </si>
  <si>
    <t>For the discount we will request that you review our treatment of your case on our Google My Business page (link will be supplied) at the end of treatment.                                                                                                                                             For the 15% discount we will request that you agree to allow us to use your clinical photos for social media including intra-oral as well as extra-oral photos.</t>
  </si>
  <si>
    <t>Discounts above are only valid for deposit/full  payment via EFT within 30 days of the date of this estimate.  Any payments made later than 30 days will lose the discount above.</t>
  </si>
  <si>
    <t>We will guarantee your treatment for 3 years for porcelain/ zirconia veneers, crowns or bridges and 1 year for any other treatment from date of treatment dependent on the 6 monthly checkups, 6 monthly oral hygiene appointments being maintained.  The onus is on the patient to ensure that these appointments are made and kept religiously.  Also, if a night guard was supplied to you this must be worn religiously every night.  Accidents and habits such as chewing ice, biting nails or skin etc cannot be guaranteed unfortunately.  Any provisional treatments of a temporary nature cannot be guaranteed.  See point 4 above.</t>
  </si>
  <si>
    <t>Spark Comp</t>
  </si>
  <si>
    <t>Invis 7</t>
  </si>
  <si>
    <t>Invis 14</t>
  </si>
  <si>
    <t>Invis Adv</t>
  </si>
  <si>
    <t>Aligner Treatment &lt; 7 Aligners</t>
  </si>
  <si>
    <t>Aligner Treatment &lt; 10 Aligners</t>
  </si>
  <si>
    <t>Aligner Treatment &lt; 14 Aligners</t>
  </si>
  <si>
    <t>Aligner Treatment &lt; 20 Aligners</t>
  </si>
  <si>
    <t>Aligner Treatment Comprehensive</t>
  </si>
  <si>
    <t>8862A</t>
  </si>
  <si>
    <t>8862B</t>
  </si>
  <si>
    <t>8862C</t>
  </si>
  <si>
    <t>8862D</t>
  </si>
  <si>
    <t>8862E</t>
  </si>
  <si>
    <t>8099EBT</t>
  </si>
  <si>
    <t>Lab fee, approx. NOT FINAL AMOUNT - Bleaching Trays</t>
  </si>
  <si>
    <t>8099EZS</t>
  </si>
  <si>
    <t>Lab fee ZOOM syringe kit fee</t>
  </si>
  <si>
    <t>8099ebt</t>
  </si>
  <si>
    <t xml:space="preserve">TOTAL </t>
  </si>
  <si>
    <t>Enamel Clinic</t>
  </si>
  <si>
    <t>CBCT is a 3D imaging of your head and jaws.  Fields of view are set according to what you need to have radiographed and hence pricing structures change accordingly.  Should not be taken whilst pregnant.</t>
  </si>
  <si>
    <t>Payment Option 1 = To be paid on day of treatment</t>
  </si>
  <si>
    <t>Nedbank</t>
  </si>
  <si>
    <t>Practice Number: 9200606.    VAT 439030035</t>
  </si>
  <si>
    <t>Whitening can be quite a sensitive treatment and hence you may find that it is quite uncomfortable.  If this is the case, your hygienist will instruct you on how to proceed.</t>
  </si>
  <si>
    <t>Zoom Whitening Session including clean</t>
  </si>
  <si>
    <t>2 hours</t>
  </si>
  <si>
    <t>Payment Option 1 = Upfront Payment before or on day of treatment</t>
  </si>
  <si>
    <t>CBCT Capture Single Tooth</t>
  </si>
  <si>
    <t>8205S</t>
  </si>
  <si>
    <t>8205Q</t>
  </si>
  <si>
    <t>CBCT Capture Quadrant</t>
  </si>
  <si>
    <t>8203S</t>
  </si>
  <si>
    <t>Interpretation of CBCT Single Tooth</t>
  </si>
  <si>
    <t>8203Q</t>
  </si>
  <si>
    <t>Interpretation of CBCT Quadrant</t>
  </si>
  <si>
    <t>8203A</t>
  </si>
  <si>
    <t>Interpretation of CBCT Single Jaw</t>
  </si>
  <si>
    <t>CBCT Capture Mandible</t>
  </si>
  <si>
    <t>CBCT Capture Maxilla</t>
  </si>
  <si>
    <t>8203F</t>
  </si>
  <si>
    <t>Interpretation of CBCT Upper and Lower Jaw</t>
  </si>
  <si>
    <t>CBCT Capture Upper and Lower Jaws</t>
  </si>
  <si>
    <t>CBCT Capture Full Head</t>
  </si>
  <si>
    <t>8203P</t>
  </si>
  <si>
    <t>Interpretation of CBCT Full head</t>
  </si>
  <si>
    <t>8205s</t>
  </si>
  <si>
    <t>8205q</t>
  </si>
  <si>
    <t>8203s</t>
  </si>
  <si>
    <t>8203q</t>
  </si>
  <si>
    <t>8203a</t>
  </si>
  <si>
    <t>8203f</t>
  </si>
  <si>
    <t>8203p</t>
  </si>
  <si>
    <t>oh</t>
  </si>
  <si>
    <t xml:space="preserve">RCT - anterior/premolar additional canal (2nd visit) on tooth </t>
  </si>
  <si>
    <t xml:space="preserve">RCT - anterior/premolar additional canal (start to finish) </t>
  </si>
  <si>
    <t xml:space="preserve">RCT - molar - each additional canal (start to finish) on tooth </t>
  </si>
  <si>
    <t>NEUROBUNNY</t>
  </si>
  <si>
    <t>NEUROEYES</t>
  </si>
  <si>
    <t>NEUROFORE</t>
  </si>
  <si>
    <t>NEUROFROWN</t>
  </si>
  <si>
    <t>NEUROTMJ</t>
  </si>
  <si>
    <t>NEUROTMJTEMP</t>
  </si>
  <si>
    <t xml:space="preserve">Spark Comp with TADS </t>
  </si>
  <si>
    <t>Invis 20</t>
  </si>
  <si>
    <t xml:space="preserve">Invis Adv with TADS </t>
  </si>
  <si>
    <t>Krstl</t>
  </si>
  <si>
    <r>
      <t xml:space="preserve"> dentist") in the amount of R_________________</t>
    </r>
    <r>
      <rPr>
        <b/>
        <sz val="20"/>
        <color theme="1"/>
        <rFont val="Calibri"/>
        <family val="2"/>
        <scheme val="minor"/>
      </rPr>
      <t>9 455,32</t>
    </r>
    <r>
      <rPr>
        <sz val="20"/>
        <color theme="1"/>
        <rFont val="Calibri"/>
        <family val="2"/>
        <scheme val="minor"/>
      </rPr>
      <t>___________ for the work described herein and agree to pay this sum as per payment option set out below.</t>
    </r>
  </si>
  <si>
    <t>I acknowledge that the dentist may be required to do additional work that is reasonably necessary and related to the procedure
described in this estimate. I further acknowledge that the need for any additional treatment may only become evident during the
procedure and only once both parties have agreed on the additional work required and fee amount in respect of the additional
work, do I accept and acknowledge that I am liable for the estimated amount and the agreed additional fee that maybe applicable.
The agreement of the additional work must be in writing and signed separately in a new estimate.</t>
  </si>
  <si>
    <t>Meso Intense Filler 1ml</t>
  </si>
  <si>
    <t>Meso10</t>
  </si>
  <si>
    <t>Meso11</t>
  </si>
  <si>
    <t>Meso Global Filler 1ml</t>
  </si>
  <si>
    <t xml:space="preserve">Meso Periocular </t>
  </si>
  <si>
    <t>MesoArgibenone 1ml</t>
  </si>
  <si>
    <t>Meso06</t>
  </si>
  <si>
    <t>Meso01</t>
  </si>
  <si>
    <t>Meso12</t>
  </si>
  <si>
    <t>Meso Mellow 1ml</t>
  </si>
  <si>
    <t>Meso07</t>
  </si>
  <si>
    <t>Meso Organic Silicon 5ml</t>
  </si>
  <si>
    <t>Meso08</t>
  </si>
  <si>
    <t>Meso X-DNA 1ml</t>
  </si>
  <si>
    <t xml:space="preserve">Meso02 </t>
  </si>
  <si>
    <t>Meso RedenX 3ml</t>
  </si>
  <si>
    <t>Meso03</t>
  </si>
  <si>
    <t>MesoNCTC 1ml</t>
  </si>
  <si>
    <t>Meso05</t>
  </si>
  <si>
    <t>Meso Vitamin C 1ml</t>
  </si>
  <si>
    <t>Meso04</t>
  </si>
  <si>
    <t>Meso DMAE 1ml</t>
  </si>
  <si>
    <t>Meso09</t>
  </si>
  <si>
    <t>Meso Hyaluronic Acid 1ml</t>
  </si>
  <si>
    <t>Add fee for using mesh strengthening in repair</t>
  </si>
  <si>
    <t>Mesh Strengthener</t>
  </si>
  <si>
    <t>Cost of Mesh Strengthener</t>
  </si>
  <si>
    <t>8099SI</t>
  </si>
  <si>
    <t xml:space="preserve">Lab fee, approx. NOT FINAL AMOUNT - Invisalign </t>
  </si>
  <si>
    <t>SWIFT</t>
  </si>
  <si>
    <t>FIRNZAJJ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</si>
</sst>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R&quot;#,##0_);[Red]\(&quot;R&quot;#,##0\)"/>
    <numFmt numFmtId="8" formatCode="&quot;R&quot;#,##0.00_);[Red]\(&quot;R&quot;#,##0.00\)"/>
    <numFmt numFmtId="164" formatCode="&quot;R&quot;#,##0;[Red]\-&quot;R&quot;#,##0"/>
    <numFmt numFmtId="165" formatCode="&quot;R&quot;#,##0"/>
    <numFmt numFmtId="166" formatCode="&quot;R&quot;#,##0.00"/>
    <numFmt numFmtId="167" formatCode="&quot;R&quot;\ #,##0.00"/>
    <numFmt numFmtId="168" formatCode="&quot;R&quot;\ #,##0.00;[Red]\-&quot;R&quot;\ #,##0.00"/>
    <numFmt numFmtId="169" formatCode="&quot;R&quot;\ #,##0.00;[Red]&quot;R&quot;\ #,##0.00"/>
    <numFmt numFmtId="170" formatCode="[$-1C09]dd\ mmmm\ yyyy;@"/>
  </numFmts>
  <fonts count="41" x14ac:knownFonts="1">
    <font>
      <sz val="12"/>
      <color theme="1"/>
      <name val="Calibri"/>
      <family val="2"/>
      <scheme val="minor"/>
    </font>
    <font>
      <sz val="11"/>
      <color theme="1"/>
      <name val="Calibri"/>
      <family val="2"/>
      <scheme val="minor"/>
    </font>
    <font>
      <b/>
      <sz val="12"/>
      <color theme="1"/>
      <name val="Calibri"/>
      <family val="2"/>
      <scheme val="minor"/>
    </font>
    <font>
      <b/>
      <i/>
      <u/>
      <sz val="18"/>
      <color theme="1"/>
      <name val="Calibri"/>
      <family val="2"/>
      <scheme val="minor"/>
    </font>
    <font>
      <b/>
      <sz val="16"/>
      <color theme="1"/>
      <name val="Calibri"/>
      <family val="2"/>
      <scheme val="minor"/>
    </font>
    <font>
      <b/>
      <u/>
      <sz val="16"/>
      <color theme="1"/>
      <name val="Calibri"/>
      <family val="2"/>
      <scheme val="minor"/>
    </font>
    <font>
      <b/>
      <u/>
      <sz val="12"/>
      <color theme="1"/>
      <name val="Calibri"/>
      <family val="2"/>
      <scheme val="minor"/>
    </font>
    <font>
      <sz val="10"/>
      <color theme="1"/>
      <name val="Calibri"/>
      <family val="2"/>
      <scheme val="minor"/>
    </font>
    <font>
      <sz val="8"/>
      <color theme="1"/>
      <name val="Calibri"/>
      <family val="2"/>
      <scheme val="minor"/>
    </font>
    <font>
      <sz val="12"/>
      <color theme="1"/>
      <name val="Calibri"/>
      <family val="2"/>
      <scheme val="minor"/>
    </font>
    <font>
      <sz val="16"/>
      <color theme="1"/>
      <name val="Calibri"/>
      <family val="2"/>
      <scheme val="minor"/>
    </font>
    <font>
      <b/>
      <u/>
      <sz val="16"/>
      <color theme="1"/>
      <name val="Tahoma"/>
      <family val="2"/>
    </font>
    <font>
      <b/>
      <u/>
      <sz val="14"/>
      <color theme="1"/>
      <name val="Calibri"/>
      <family val="2"/>
      <scheme val="minor"/>
    </font>
    <font>
      <b/>
      <sz val="12"/>
      <color rgb="FF000000"/>
      <name val="Calibri"/>
      <family val="2"/>
      <scheme val="minor"/>
    </font>
    <font>
      <sz val="8"/>
      <name val="Calibri"/>
      <family val="2"/>
      <scheme val="minor"/>
    </font>
    <font>
      <b/>
      <u/>
      <sz val="18"/>
      <color theme="1"/>
      <name val="Calibri"/>
      <family val="2"/>
      <scheme val="minor"/>
    </font>
    <font>
      <b/>
      <sz val="18"/>
      <color theme="1"/>
      <name val="Calibri"/>
      <family val="2"/>
      <scheme val="minor"/>
    </font>
    <font>
      <sz val="18"/>
      <color theme="1"/>
      <name val="Calibri"/>
      <family val="2"/>
      <scheme val="minor"/>
    </font>
    <font>
      <b/>
      <u/>
      <sz val="20"/>
      <color theme="1"/>
      <name val="Calibri"/>
      <family val="2"/>
      <scheme val="minor"/>
    </font>
    <font>
      <u/>
      <sz val="18"/>
      <color theme="1"/>
      <name val="Calibri"/>
      <family val="2"/>
      <scheme val="minor"/>
    </font>
    <font>
      <b/>
      <sz val="20"/>
      <color theme="1"/>
      <name val="Calibri"/>
      <family val="2"/>
      <scheme val="minor"/>
    </font>
    <font>
      <sz val="20"/>
      <color theme="1"/>
      <name val="Calibri"/>
      <family val="2"/>
      <scheme val="minor"/>
    </font>
    <font>
      <b/>
      <u/>
      <sz val="22"/>
      <color theme="1"/>
      <name val="Calibri"/>
      <family val="2"/>
      <scheme val="minor"/>
    </font>
    <font>
      <sz val="22"/>
      <color theme="1"/>
      <name val="Calibri"/>
      <family val="2"/>
      <scheme val="minor"/>
    </font>
    <font>
      <b/>
      <sz val="22"/>
      <color theme="1"/>
      <name val="Calibri"/>
      <family val="2"/>
      <scheme val="minor"/>
    </font>
    <font>
      <u/>
      <sz val="22"/>
      <color theme="1"/>
      <name val="Calibri"/>
      <family val="2"/>
      <scheme val="minor"/>
    </font>
    <font>
      <u/>
      <sz val="20"/>
      <color theme="1"/>
      <name val="Calibri"/>
      <family val="2"/>
      <scheme val="minor"/>
    </font>
    <font>
      <sz val="14"/>
      <color theme="1"/>
      <name val="Calibri"/>
      <family val="2"/>
      <scheme val="minor"/>
    </font>
    <font>
      <b/>
      <sz val="26"/>
      <color theme="1"/>
      <name val="Apple Chancery"/>
      <family val="4"/>
    </font>
    <font>
      <b/>
      <sz val="14"/>
      <color theme="1"/>
      <name val="Calibri"/>
      <family val="2"/>
      <scheme val="minor"/>
    </font>
    <font>
      <b/>
      <u val="singleAccounting"/>
      <sz val="14"/>
      <color theme="1"/>
      <name val="Calibri"/>
      <family val="2"/>
      <scheme val="minor"/>
    </font>
    <font>
      <u/>
      <sz val="16"/>
      <color theme="1"/>
      <name val="Calibri"/>
      <family val="2"/>
      <scheme val="minor"/>
    </font>
    <font>
      <i/>
      <sz val="18"/>
      <color theme="1"/>
      <name val="Calibri"/>
      <family val="2"/>
      <scheme val="minor"/>
    </font>
    <font>
      <i/>
      <u/>
      <sz val="18"/>
      <color theme="1"/>
      <name val="Calibri"/>
      <family val="2"/>
      <scheme val="minor"/>
    </font>
    <font>
      <i/>
      <sz val="14"/>
      <color theme="1"/>
      <name val="Calibri"/>
      <family val="2"/>
      <scheme val="minor"/>
    </font>
    <font>
      <i/>
      <sz val="10"/>
      <color theme="1"/>
      <name val="Calibri"/>
      <family val="2"/>
      <scheme val="minor"/>
    </font>
    <font>
      <sz val="20"/>
      <color rgb="FF000000"/>
      <name val="Calibri"/>
      <family val="2"/>
      <scheme val="minor"/>
    </font>
    <font>
      <sz val="14"/>
      <color rgb="FF000000"/>
      <name val="Calibri"/>
      <family val="2"/>
      <scheme val="minor"/>
    </font>
    <font>
      <u/>
      <sz val="20"/>
      <color rgb="FF000000"/>
      <name val="Calibri (Body)"/>
    </font>
    <font>
      <sz val="16"/>
      <color rgb="FF000000"/>
      <name val="Calibri (Body)"/>
    </font>
    <font>
      <sz val="12"/>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0" tint="-0.14999847407452621"/>
        <bgColor theme="0" tint="-0.14999847407452621"/>
      </patternFill>
    </fill>
    <fill>
      <patternFill patternType="solid">
        <fgColor rgb="FFFFFF00"/>
        <bgColor indexed="64"/>
      </patternFill>
    </fill>
    <fill>
      <patternFill patternType="solid">
        <fgColor theme="0"/>
        <bgColor theme="0" tint="-0.14999847407452621"/>
      </patternFill>
    </fill>
    <fill>
      <patternFill patternType="solid">
        <fgColor rgb="FFFFFFFF"/>
        <bgColor rgb="FF000000"/>
      </patternFill>
    </fill>
    <fill>
      <patternFill patternType="solid">
        <fgColor rgb="FF92D050"/>
        <bgColor indexed="64"/>
      </patternFill>
    </fill>
    <fill>
      <patternFill patternType="solid">
        <fgColor rgb="FFFFD2E2"/>
        <bgColor indexed="64"/>
      </patternFill>
    </fill>
    <fill>
      <patternFill patternType="solid">
        <fgColor theme="0" tint="-0.14999847407452621"/>
        <bgColor indexed="64"/>
      </patternFill>
    </fill>
    <fill>
      <patternFill patternType="solid">
        <fgColor rgb="FF00B050"/>
        <bgColor indexed="64"/>
      </patternFill>
    </fill>
    <fill>
      <patternFill patternType="solid">
        <fgColor rgb="FFFF38F9"/>
        <bgColor indexed="64"/>
      </patternFill>
    </fill>
  </fills>
  <borders count="25">
    <border>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top style="thin">
        <color indexed="64"/>
      </top>
      <bottom/>
      <diagonal/>
    </border>
    <border>
      <left/>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medium">
        <color auto="1"/>
      </right>
      <top/>
      <bottom style="medium">
        <color auto="1"/>
      </bottom>
      <diagonal/>
    </border>
    <border>
      <left style="medium">
        <color indexed="64"/>
      </left>
      <right/>
      <top style="medium">
        <color indexed="64"/>
      </top>
      <bottom/>
      <diagonal/>
    </border>
    <border>
      <left/>
      <right/>
      <top style="medium">
        <color indexed="64"/>
      </top>
      <bottom/>
      <diagonal/>
    </border>
    <border>
      <left/>
      <right/>
      <top style="medium">
        <color indexed="64"/>
      </top>
      <bottom style="thin">
        <color indexed="64"/>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style="medium">
        <color indexed="64"/>
      </left>
      <right/>
      <top style="medium">
        <color indexed="64"/>
      </top>
      <bottom style="thin">
        <color indexed="64"/>
      </bottom>
      <diagonal/>
    </border>
    <border>
      <left/>
      <right/>
      <top style="thin">
        <color indexed="64"/>
      </top>
      <bottom style="thin">
        <color indexed="64"/>
      </bottom>
      <diagonal/>
    </border>
  </borders>
  <cellStyleXfs count="1">
    <xf numFmtId="0" fontId="0" fillId="0" borderId="0"/>
  </cellStyleXfs>
  <cellXfs count="266">
    <xf numFmtId="0" fontId="0" fillId="0" borderId="0" xfId="0"/>
    <xf numFmtId="0" fontId="0" fillId="0" borderId="0" xfId="0" applyAlignment="1">
      <alignment vertical="top" wrapText="1"/>
    </xf>
    <xf numFmtId="166" fontId="0" fillId="0" borderId="0" xfId="0" applyNumberFormat="1"/>
    <xf numFmtId="0" fontId="0" fillId="0" borderId="0" xfId="0" applyAlignment="1">
      <alignment wrapText="1"/>
    </xf>
    <xf numFmtId="0" fontId="4" fillId="0" borderId="0" xfId="0" applyFont="1"/>
    <xf numFmtId="0" fontId="8" fillId="0" borderId="0" xfId="0" applyFont="1" applyAlignment="1">
      <alignment horizontal="left" wrapText="1"/>
    </xf>
    <xf numFmtId="0" fontId="0" fillId="0" borderId="0" xfId="0" applyAlignment="1">
      <alignment horizontal="center" vertical="center"/>
    </xf>
    <xf numFmtId="0" fontId="0" fillId="0" borderId="0" xfId="0" applyAlignment="1">
      <alignment horizontal="center" vertical="center" wrapText="1"/>
    </xf>
    <xf numFmtId="0" fontId="8" fillId="0" borderId="0" xfId="0" applyFont="1" applyAlignment="1">
      <alignment horizontal="left" vertical="center" wrapText="1"/>
    </xf>
    <xf numFmtId="0" fontId="0" fillId="0" borderId="0" xfId="0" applyAlignment="1">
      <alignment horizontal="center"/>
    </xf>
    <xf numFmtId="0" fontId="0" fillId="0" borderId="5" xfId="0" applyBorder="1"/>
    <xf numFmtId="0" fontId="0" fillId="0" borderId="5" xfId="0" applyBorder="1" applyAlignment="1">
      <alignment horizontal="right"/>
    </xf>
    <xf numFmtId="0" fontId="0" fillId="0" borderId="5" xfId="0" applyBorder="1" applyAlignment="1">
      <alignment vertical="center"/>
    </xf>
    <xf numFmtId="0" fontId="0" fillId="0" borderId="5" xfId="0" applyBorder="1" applyAlignment="1">
      <alignment horizontal="center"/>
    </xf>
    <xf numFmtId="0" fontId="0" fillId="0" borderId="5" xfId="0" applyBorder="1" applyAlignment="1">
      <alignment vertical="center" wrapText="1"/>
    </xf>
    <xf numFmtId="0" fontId="0" fillId="0" borderId="5" xfId="0" applyBorder="1" applyAlignment="1">
      <alignment horizontal="center" vertical="center"/>
    </xf>
    <xf numFmtId="167" fontId="0" fillId="0" borderId="5" xfId="0" applyNumberFormat="1" applyBorder="1"/>
    <xf numFmtId="168" fontId="0" fillId="0" borderId="5" xfId="0" applyNumberFormat="1" applyBorder="1"/>
    <xf numFmtId="167" fontId="0" fillId="0" borderId="5" xfId="0" applyNumberFormat="1" applyBorder="1" applyAlignment="1">
      <alignment vertical="center"/>
    </xf>
    <xf numFmtId="167" fontId="0" fillId="0" borderId="5" xfId="0" applyNumberFormat="1" applyBorder="1" applyAlignment="1">
      <alignment vertical="center" wrapText="1"/>
    </xf>
    <xf numFmtId="167" fontId="0" fillId="0" borderId="5" xfId="0" applyNumberFormat="1" applyBorder="1" applyAlignment="1">
      <alignment horizontal="right"/>
    </xf>
    <xf numFmtId="169" fontId="0" fillId="0" borderId="5" xfId="0" applyNumberFormat="1" applyBorder="1" applyAlignment="1">
      <alignment horizontal="right"/>
    </xf>
    <xf numFmtId="169" fontId="0" fillId="0" borderId="5" xfId="0" applyNumberFormat="1" applyBorder="1"/>
    <xf numFmtId="0" fontId="2" fillId="2" borderId="0" xfId="0" applyFont="1" applyFill="1"/>
    <xf numFmtId="0" fontId="0" fillId="2" borderId="0" xfId="0" applyFill="1" applyAlignment="1">
      <alignment horizontal="left"/>
    </xf>
    <xf numFmtId="0" fontId="0" fillId="2" borderId="0" xfId="0" applyFill="1"/>
    <xf numFmtId="166" fontId="0" fillId="2" borderId="0" xfId="0" applyNumberFormat="1" applyFill="1"/>
    <xf numFmtId="0" fontId="4" fillId="2" borderId="0" xfId="0" applyFont="1" applyFill="1"/>
    <xf numFmtId="0" fontId="5" fillId="2" borderId="0" xfId="0" applyFont="1" applyFill="1" applyAlignment="1">
      <alignment horizontal="left"/>
    </xf>
    <xf numFmtId="166" fontId="4" fillId="2" borderId="0" xfId="0" applyNumberFormat="1" applyFont="1" applyFill="1"/>
    <xf numFmtId="0" fontId="2" fillId="2" borderId="0" xfId="0" applyFont="1" applyFill="1" applyAlignment="1">
      <alignment horizontal="left"/>
    </xf>
    <xf numFmtId="0" fontId="0" fillId="2" borderId="0" xfId="0" applyFill="1" applyAlignment="1">
      <alignment horizontal="left" vertical="top" wrapText="1"/>
    </xf>
    <xf numFmtId="0" fontId="3" fillId="2" borderId="0" xfId="0" applyFont="1" applyFill="1" applyAlignment="1">
      <alignment horizontal="center"/>
    </xf>
    <xf numFmtId="0" fontId="5" fillId="2" borderId="0" xfId="0" applyFont="1" applyFill="1"/>
    <xf numFmtId="166" fontId="5" fillId="2" borderId="0" xfId="0" applyNumberFormat="1" applyFont="1" applyFill="1"/>
    <xf numFmtId="0" fontId="5" fillId="0" borderId="0" xfId="0" applyFont="1"/>
    <xf numFmtId="0" fontId="10" fillId="0" borderId="1" xfId="0" applyFont="1" applyBorder="1" applyAlignment="1">
      <alignment vertical="center"/>
    </xf>
    <xf numFmtId="0" fontId="10" fillId="0" borderId="2" xfId="0" applyFont="1" applyBorder="1" applyAlignment="1">
      <alignment vertical="center"/>
    </xf>
    <xf numFmtId="0" fontId="10" fillId="0" borderId="3" xfId="0" applyFont="1" applyBorder="1" applyAlignment="1">
      <alignment vertical="center"/>
    </xf>
    <xf numFmtId="0" fontId="6" fillId="0" borderId="5" xfId="0" applyFont="1" applyBorder="1" applyAlignment="1">
      <alignment vertical="center"/>
    </xf>
    <xf numFmtId="0" fontId="12" fillId="0" borderId="5" xfId="0" applyFont="1" applyBorder="1" applyAlignment="1">
      <alignment horizontal="center" vertical="top"/>
    </xf>
    <xf numFmtId="0" fontId="6" fillId="0" borderId="6" xfId="0" applyFont="1" applyBorder="1" applyAlignment="1">
      <alignment horizontal="center" vertical="top"/>
    </xf>
    <xf numFmtId="0" fontId="6" fillId="0" borderId="4" xfId="0" applyFont="1" applyBorder="1" applyAlignment="1">
      <alignment horizontal="center" vertical="center"/>
    </xf>
    <xf numFmtId="0" fontId="6" fillId="0" borderId="0" xfId="0" applyFont="1" applyAlignment="1">
      <alignment horizontal="center" vertical="center"/>
    </xf>
    <xf numFmtId="0" fontId="2" fillId="0" borderId="5" xfId="0" applyFont="1" applyBorder="1"/>
    <xf numFmtId="0" fontId="13" fillId="0" borderId="5" xfId="0" applyFont="1" applyBorder="1"/>
    <xf numFmtId="0" fontId="9" fillId="0" borderId="5" xfId="0" applyFont="1" applyBorder="1"/>
    <xf numFmtId="0" fontId="0" fillId="0" borderId="7" xfId="0" applyBorder="1"/>
    <xf numFmtId="166" fontId="18" fillId="2" borderId="0" xfId="0" applyNumberFormat="1" applyFont="1" applyFill="1"/>
    <xf numFmtId="0" fontId="18" fillId="2" borderId="0" xfId="0" applyFont="1" applyFill="1" applyAlignment="1">
      <alignment horizontal="left"/>
    </xf>
    <xf numFmtId="0" fontId="18" fillId="2" borderId="0" xfId="0" applyFont="1" applyFill="1"/>
    <xf numFmtId="0" fontId="18" fillId="2" borderId="0" xfId="0" applyFont="1" applyFill="1" applyAlignment="1">
      <alignment horizontal="center"/>
    </xf>
    <xf numFmtId="0" fontId="17" fillId="2" borderId="0" xfId="0" applyFont="1" applyFill="1"/>
    <xf numFmtId="0" fontId="17" fillId="0" borderId="0" xfId="0" applyFont="1"/>
    <xf numFmtId="166" fontId="17" fillId="2" borderId="0" xfId="0" applyNumberFormat="1" applyFont="1" applyFill="1"/>
    <xf numFmtId="166" fontId="22" fillId="2" borderId="0" xfId="0" applyNumberFormat="1" applyFont="1" applyFill="1"/>
    <xf numFmtId="0" fontId="17" fillId="2" borderId="0" xfId="0" applyFont="1" applyFill="1" applyAlignment="1">
      <alignment horizontal="left"/>
    </xf>
    <xf numFmtId="0" fontId="15" fillId="2" borderId="0" xfId="0" applyFont="1" applyFill="1" applyAlignment="1">
      <alignment horizontal="left"/>
    </xf>
    <xf numFmtId="0" fontId="15" fillId="2" borderId="0" xfId="0" applyFont="1" applyFill="1"/>
    <xf numFmtId="0" fontId="17" fillId="0" borderId="0" xfId="0" applyFont="1" applyAlignment="1">
      <alignment horizontal="left"/>
    </xf>
    <xf numFmtId="0" fontId="17" fillId="2" borderId="0" xfId="0" applyFont="1" applyFill="1" applyAlignment="1">
      <alignment horizontal="left" vertical="center" wrapText="1"/>
    </xf>
    <xf numFmtId="166" fontId="17" fillId="2" borderId="0" xfId="0" applyNumberFormat="1" applyFont="1" applyFill="1" applyAlignment="1">
      <alignment horizontal="left" wrapText="1"/>
    </xf>
    <xf numFmtId="0" fontId="17" fillId="2" borderId="0" xfId="0" applyFont="1" applyFill="1" applyAlignment="1">
      <alignment horizontal="left" wrapText="1"/>
    </xf>
    <xf numFmtId="0" fontId="17" fillId="2" borderId="5" xfId="0" applyFont="1" applyFill="1" applyBorder="1" applyAlignment="1">
      <alignment horizontal="left" vertical="center" wrapText="1"/>
    </xf>
    <xf numFmtId="0" fontId="17" fillId="2" borderId="0" xfId="0" applyFont="1" applyFill="1" applyAlignment="1">
      <alignment vertical="center" wrapText="1"/>
    </xf>
    <xf numFmtId="166" fontId="17" fillId="2" borderId="0" xfId="0" applyNumberFormat="1" applyFont="1" applyFill="1" applyAlignment="1">
      <alignment horizontal="left" vertical="center" wrapText="1"/>
    </xf>
    <xf numFmtId="166" fontId="17" fillId="2" borderId="0" xfId="0" applyNumberFormat="1" applyFont="1" applyFill="1" applyAlignment="1">
      <alignment horizontal="center" vertical="center" wrapText="1"/>
    </xf>
    <xf numFmtId="0" fontId="17" fillId="2" borderId="0" xfId="0" applyFont="1" applyFill="1" applyAlignment="1">
      <alignment horizontal="center" vertical="center" wrapText="1"/>
    </xf>
    <xf numFmtId="0" fontId="23" fillId="0" borderId="0" xfId="0" applyFont="1"/>
    <xf numFmtId="0" fontId="23" fillId="2" borderId="0" xfId="0" applyFont="1" applyFill="1"/>
    <xf numFmtId="0" fontId="23" fillId="2" borderId="0" xfId="0" applyFont="1" applyFill="1" applyAlignment="1">
      <alignment horizontal="left" vertical="top" wrapText="1"/>
    </xf>
    <xf numFmtId="0" fontId="23" fillId="2" borderId="9" xfId="0" applyFont="1" applyFill="1" applyBorder="1" applyAlignment="1">
      <alignment horizontal="left" vertical="top" wrapText="1"/>
    </xf>
    <xf numFmtId="0" fontId="23" fillId="0" borderId="0" xfId="0" applyFont="1" applyAlignment="1">
      <alignment vertical="top" wrapText="1"/>
    </xf>
    <xf numFmtId="0" fontId="23" fillId="2" borderId="0" xfId="0" applyFont="1" applyFill="1" applyAlignment="1">
      <alignment vertical="top" wrapText="1"/>
    </xf>
    <xf numFmtId="166" fontId="23" fillId="2" borderId="0" xfId="0" applyNumberFormat="1" applyFont="1" applyFill="1"/>
    <xf numFmtId="0" fontId="21" fillId="0" borderId="0" xfId="0" applyFont="1"/>
    <xf numFmtId="0" fontId="21" fillId="2" borderId="0" xfId="0" applyFont="1" applyFill="1"/>
    <xf numFmtId="0" fontId="21" fillId="2" borderId="0" xfId="0" applyFont="1" applyFill="1" applyAlignment="1">
      <alignment horizontal="left"/>
    </xf>
    <xf numFmtId="166" fontId="21" fillId="2" borderId="0" xfId="0" applyNumberFormat="1" applyFont="1" applyFill="1"/>
    <xf numFmtId="0" fontId="20" fillId="2" borderId="0" xfId="0" applyFont="1" applyFill="1" applyAlignment="1">
      <alignment horizontal="left"/>
    </xf>
    <xf numFmtId="0" fontId="26" fillId="2" borderId="0" xfId="0" applyFont="1" applyFill="1" applyAlignment="1">
      <alignment horizontal="left"/>
    </xf>
    <xf numFmtId="167" fontId="0" fillId="3" borderId="5" xfId="0" applyNumberFormat="1" applyFill="1" applyBorder="1"/>
    <xf numFmtId="168" fontId="0" fillId="3" borderId="5" xfId="0" applyNumberFormat="1" applyFill="1" applyBorder="1"/>
    <xf numFmtId="167" fontId="0" fillId="3" borderId="5" xfId="0" applyNumberFormat="1" applyFill="1" applyBorder="1" applyAlignment="1">
      <alignment vertical="center"/>
    </xf>
    <xf numFmtId="167" fontId="0" fillId="3" borderId="5" xfId="0" applyNumberFormat="1" applyFill="1" applyBorder="1" applyAlignment="1">
      <alignment vertical="center" wrapText="1"/>
    </xf>
    <xf numFmtId="167" fontId="0" fillId="3" borderId="5" xfId="0" applyNumberFormat="1" applyFill="1" applyBorder="1" applyAlignment="1">
      <alignment horizontal="right"/>
    </xf>
    <xf numFmtId="169" fontId="0" fillId="3" borderId="5" xfId="0" applyNumberFormat="1" applyFill="1" applyBorder="1" applyAlignment="1">
      <alignment horizontal="right"/>
    </xf>
    <xf numFmtId="169" fontId="0" fillId="3" borderId="5" xfId="0" applyNumberFormat="1" applyFill="1" applyBorder="1"/>
    <xf numFmtId="8" fontId="0" fillId="0" borderId="0" xfId="0" applyNumberFormat="1"/>
    <xf numFmtId="8" fontId="0" fillId="0" borderId="5" xfId="0" applyNumberFormat="1" applyBorder="1"/>
    <xf numFmtId="166" fontId="0" fillId="0" borderId="5" xfId="0" applyNumberFormat="1" applyBorder="1"/>
    <xf numFmtId="0" fontId="0" fillId="2" borderId="0" xfId="0" applyFill="1" applyAlignment="1">
      <alignment horizontal="left" wrapText="1"/>
    </xf>
    <xf numFmtId="0" fontId="23" fillId="2" borderId="0" xfId="0" applyFont="1" applyFill="1" applyAlignment="1">
      <alignment horizontal="left" vertical="center" wrapText="1"/>
    </xf>
    <xf numFmtId="0" fontId="22" fillId="2" borderId="0" xfId="0" applyFont="1" applyFill="1" applyAlignment="1">
      <alignment vertical="center" wrapText="1"/>
    </xf>
    <xf numFmtId="0" fontId="23" fillId="2" borderId="5" xfId="0" applyFont="1" applyFill="1" applyBorder="1" applyAlignment="1">
      <alignment horizontal="left" vertical="center" wrapText="1"/>
    </xf>
    <xf numFmtId="166" fontId="0" fillId="4" borderId="5" xfId="0" applyNumberFormat="1" applyFill="1" applyBorder="1"/>
    <xf numFmtId="0" fontId="27" fillId="2" borderId="0" xfId="0" applyFont="1" applyFill="1" applyAlignment="1">
      <alignment horizontal="left"/>
    </xf>
    <xf numFmtId="8" fontId="0" fillId="3" borderId="5" xfId="0" applyNumberFormat="1" applyFill="1" applyBorder="1"/>
    <xf numFmtId="166" fontId="0" fillId="3" borderId="5" xfId="0" applyNumberFormat="1" applyFill="1" applyBorder="1"/>
    <xf numFmtId="165" fontId="0" fillId="0" borderId="5" xfId="0" applyNumberFormat="1" applyBorder="1"/>
    <xf numFmtId="0" fontId="0" fillId="2" borderId="5" xfId="0" applyFill="1" applyBorder="1"/>
    <xf numFmtId="0" fontId="0" fillId="2" borderId="5" xfId="0" applyFill="1" applyBorder="1" applyAlignment="1">
      <alignment horizontal="center"/>
    </xf>
    <xf numFmtId="8" fontId="0" fillId="2" borderId="5" xfId="0" applyNumberFormat="1" applyFill="1" applyBorder="1"/>
    <xf numFmtId="167" fontId="0" fillId="2" borderId="5" xfId="0" applyNumberFormat="1" applyFill="1" applyBorder="1"/>
    <xf numFmtId="8" fontId="0" fillId="2" borderId="0" xfId="0" applyNumberFormat="1" applyFill="1"/>
    <xf numFmtId="8" fontId="0" fillId="5" borderId="5" xfId="0" applyNumberFormat="1" applyFill="1" applyBorder="1"/>
    <xf numFmtId="0" fontId="0" fillId="3" borderId="0" xfId="0" applyFill="1"/>
    <xf numFmtId="6" fontId="0" fillId="0" borderId="0" xfId="0" applyNumberFormat="1"/>
    <xf numFmtId="0" fontId="2" fillId="0" borderId="0" xfId="0" applyFont="1"/>
    <xf numFmtId="0" fontId="17" fillId="2" borderId="0" xfId="0" applyFont="1" applyFill="1" applyAlignment="1">
      <alignment horizontal="center" vertical="top"/>
    </xf>
    <xf numFmtId="0" fontId="17" fillId="2" borderId="0" xfId="0" applyFont="1" applyFill="1" applyAlignment="1">
      <alignment vertical="top" wrapText="1"/>
    </xf>
    <xf numFmtId="0" fontId="7" fillId="2" borderId="0" xfId="0" applyFont="1" applyFill="1" applyAlignment="1">
      <alignment horizontal="left" vertical="center" wrapText="1"/>
    </xf>
    <xf numFmtId="166" fontId="17" fillId="2" borderId="0" xfId="0" applyNumberFormat="1" applyFont="1" applyFill="1" applyAlignment="1">
      <alignment vertical="top" wrapText="1"/>
    </xf>
    <xf numFmtId="0" fontId="17" fillId="2" borderId="0" xfId="0" applyFont="1" applyFill="1" applyAlignment="1">
      <alignment vertical="top"/>
    </xf>
    <xf numFmtId="166" fontId="17" fillId="2" borderId="0" xfId="0" applyNumberFormat="1" applyFont="1" applyFill="1" applyAlignment="1">
      <alignment vertical="top"/>
    </xf>
    <xf numFmtId="0" fontId="19" fillId="2" borderId="0" xfId="0" applyFont="1" applyFill="1" applyAlignment="1">
      <alignment vertical="top"/>
    </xf>
    <xf numFmtId="0" fontId="24" fillId="2" borderId="10" xfId="0" applyFont="1" applyFill="1" applyBorder="1" applyAlignment="1">
      <alignment horizontal="left"/>
    </xf>
    <xf numFmtId="0" fontId="24" fillId="2" borderId="10" xfId="0" applyFont="1" applyFill="1" applyBorder="1"/>
    <xf numFmtId="166" fontId="24" fillId="2" borderId="10" xfId="0" applyNumberFormat="1" applyFont="1" applyFill="1" applyBorder="1"/>
    <xf numFmtId="0" fontId="27" fillId="0" borderId="0" xfId="0" applyFont="1" applyAlignment="1">
      <alignment wrapText="1"/>
    </xf>
    <xf numFmtId="0" fontId="27" fillId="2" borderId="0" xfId="0" applyFont="1" applyFill="1" applyAlignment="1">
      <alignment wrapText="1"/>
    </xf>
    <xf numFmtId="0" fontId="30" fillId="2" borderId="17" xfId="0" applyFont="1" applyFill="1" applyBorder="1" applyAlignment="1">
      <alignment horizontal="left" wrapText="1"/>
    </xf>
    <xf numFmtId="0" fontId="30" fillId="2" borderId="17" xfId="0" applyFont="1" applyFill="1" applyBorder="1" applyAlignment="1">
      <alignment wrapText="1"/>
    </xf>
    <xf numFmtId="166" fontId="30" fillId="2" borderId="17" xfId="0" applyNumberFormat="1" applyFont="1" applyFill="1" applyBorder="1" applyAlignment="1">
      <alignment wrapText="1"/>
    </xf>
    <xf numFmtId="0" fontId="29" fillId="2" borderId="19" xfId="0" applyFont="1" applyFill="1" applyBorder="1" applyAlignment="1">
      <alignment wrapText="1"/>
    </xf>
    <xf numFmtId="0" fontId="19" fillId="2" borderId="20" xfId="0" applyFont="1" applyFill="1" applyBorder="1" applyAlignment="1">
      <alignment horizontal="center"/>
    </xf>
    <xf numFmtId="0" fontId="19" fillId="2" borderId="21" xfId="0" applyFont="1" applyFill="1" applyBorder="1" applyAlignment="1">
      <alignment vertical="top"/>
    </xf>
    <xf numFmtId="166" fontId="19" fillId="2" borderId="21" xfId="0" applyNumberFormat="1" applyFont="1" applyFill="1" applyBorder="1" applyAlignment="1">
      <alignment vertical="top"/>
    </xf>
    <xf numFmtId="0" fontId="19" fillId="2" borderId="22" xfId="0" applyFont="1" applyFill="1" applyBorder="1" applyAlignment="1">
      <alignment horizontal="center"/>
    </xf>
    <xf numFmtId="0" fontId="17" fillId="2" borderId="10" xfId="0" applyFont="1" applyFill="1" applyBorder="1" applyAlignment="1">
      <alignment vertical="top"/>
    </xf>
    <xf numFmtId="0" fontId="19" fillId="2" borderId="16" xfId="0" applyFont="1" applyFill="1" applyBorder="1" applyAlignment="1">
      <alignment horizontal="center"/>
    </xf>
    <xf numFmtId="0" fontId="17" fillId="2" borderId="17" xfId="0" applyFont="1" applyFill="1" applyBorder="1" applyAlignment="1">
      <alignment horizontal="center" vertical="top"/>
    </xf>
    <xf numFmtId="0" fontId="17" fillId="2" borderId="17" xfId="0" applyFont="1" applyFill="1" applyBorder="1" applyAlignment="1">
      <alignment vertical="top" wrapText="1"/>
    </xf>
    <xf numFmtId="0" fontId="7" fillId="2" borderId="17" xfId="0" applyFont="1" applyFill="1" applyBorder="1" applyAlignment="1">
      <alignment horizontal="left" vertical="center" wrapText="1"/>
    </xf>
    <xf numFmtId="166" fontId="17" fillId="2" borderId="17" xfId="0" applyNumberFormat="1" applyFont="1" applyFill="1" applyBorder="1" applyAlignment="1">
      <alignment vertical="top" wrapText="1"/>
    </xf>
    <xf numFmtId="0" fontId="17" fillId="2" borderId="17" xfId="0" applyFont="1" applyFill="1" applyBorder="1" applyAlignment="1">
      <alignment vertical="top"/>
    </xf>
    <xf numFmtId="166" fontId="17" fillId="2" borderId="17" xfId="0" applyNumberFormat="1" applyFont="1" applyFill="1" applyBorder="1" applyAlignment="1">
      <alignment vertical="top"/>
    </xf>
    <xf numFmtId="0" fontId="19" fillId="2" borderId="19" xfId="0" applyFont="1" applyFill="1" applyBorder="1" applyAlignment="1">
      <alignment vertical="top"/>
    </xf>
    <xf numFmtId="0" fontId="17" fillId="2" borderId="10" xfId="0" applyFont="1" applyFill="1" applyBorder="1" applyAlignment="1">
      <alignment horizontal="center"/>
    </xf>
    <xf numFmtId="0" fontId="17" fillId="2" borderId="10" xfId="0" applyFont="1" applyFill="1" applyBorder="1"/>
    <xf numFmtId="166" fontId="17" fillId="2" borderId="10" xfId="0" applyNumberFormat="1" applyFont="1" applyFill="1" applyBorder="1"/>
    <xf numFmtId="0" fontId="19" fillId="2" borderId="15" xfId="0" applyFont="1" applyFill="1" applyBorder="1"/>
    <xf numFmtId="0" fontId="10" fillId="0" borderId="0" xfId="0" applyFont="1"/>
    <xf numFmtId="0" fontId="31" fillId="2" borderId="0" xfId="0" applyFont="1" applyFill="1" applyAlignment="1">
      <alignment vertical="top"/>
    </xf>
    <xf numFmtId="0" fontId="10" fillId="2" borderId="0" xfId="0" applyFont="1" applyFill="1"/>
    <xf numFmtId="0" fontId="32" fillId="0" borderId="0" xfId="0" applyFont="1"/>
    <xf numFmtId="0" fontId="33" fillId="2" borderId="22" xfId="0" applyFont="1" applyFill="1" applyBorder="1" applyAlignment="1">
      <alignment horizontal="center"/>
    </xf>
    <xf numFmtId="0" fontId="32" fillId="2" borderId="10" xfId="0" applyFont="1" applyFill="1" applyBorder="1" applyAlignment="1">
      <alignment horizontal="center" vertical="top"/>
    </xf>
    <xf numFmtId="0" fontId="32" fillId="2" borderId="10" xfId="0" applyFont="1" applyFill="1" applyBorder="1" applyAlignment="1">
      <alignment vertical="top" wrapText="1"/>
    </xf>
    <xf numFmtId="0" fontId="35" fillId="2" borderId="10" xfId="0" applyFont="1" applyFill="1" applyBorder="1" applyAlignment="1">
      <alignment horizontal="left" vertical="center" wrapText="1"/>
    </xf>
    <xf numFmtId="166" fontId="32" fillId="2" borderId="10" xfId="0" applyNumberFormat="1" applyFont="1" applyFill="1" applyBorder="1" applyAlignment="1">
      <alignment vertical="top" wrapText="1"/>
    </xf>
    <xf numFmtId="0" fontId="32" fillId="2" borderId="10" xfId="0" applyFont="1" applyFill="1" applyBorder="1" applyAlignment="1">
      <alignment vertical="top"/>
    </xf>
    <xf numFmtId="0" fontId="33" fillId="2" borderId="15" xfId="0" applyFont="1" applyFill="1" applyBorder="1" applyAlignment="1">
      <alignment vertical="top"/>
    </xf>
    <xf numFmtId="0" fontId="32" fillId="2" borderId="0" xfId="0" applyFont="1" applyFill="1"/>
    <xf numFmtId="0" fontId="32" fillId="2" borderId="0" xfId="0" applyFont="1" applyFill="1" applyAlignment="1">
      <alignment horizontal="center" vertical="top"/>
    </xf>
    <xf numFmtId="0" fontId="33" fillId="2" borderId="20" xfId="0" applyFont="1" applyFill="1" applyBorder="1" applyAlignment="1">
      <alignment horizontal="center"/>
    </xf>
    <xf numFmtId="0" fontId="32" fillId="2" borderId="0" xfId="0" applyFont="1" applyFill="1" applyAlignment="1">
      <alignment vertical="top" wrapText="1"/>
    </xf>
    <xf numFmtId="0" fontId="35" fillId="2" borderId="0" xfId="0" applyFont="1" applyFill="1" applyAlignment="1">
      <alignment horizontal="left" vertical="center" wrapText="1"/>
    </xf>
    <xf numFmtId="166" fontId="32" fillId="2" borderId="0" xfId="0" applyNumberFormat="1" applyFont="1" applyFill="1" applyAlignment="1">
      <alignment vertical="top" wrapText="1"/>
    </xf>
    <xf numFmtId="0" fontId="32" fillId="2" borderId="0" xfId="0" applyFont="1" applyFill="1" applyAlignment="1">
      <alignment vertical="top"/>
    </xf>
    <xf numFmtId="166" fontId="32" fillId="2" borderId="0" xfId="0" applyNumberFormat="1" applyFont="1" applyFill="1" applyAlignment="1">
      <alignment vertical="top"/>
    </xf>
    <xf numFmtId="0" fontId="33" fillId="2" borderId="21" xfId="0" applyFont="1" applyFill="1" applyBorder="1" applyAlignment="1">
      <alignment vertical="top"/>
    </xf>
    <xf numFmtId="0" fontId="29" fillId="2" borderId="23" xfId="0" applyFont="1" applyFill="1" applyBorder="1" applyAlignment="1">
      <alignment wrapText="1"/>
    </xf>
    <xf numFmtId="0" fontId="17" fillId="2" borderId="5" xfId="0" applyFont="1" applyFill="1" applyBorder="1" applyAlignment="1">
      <alignment horizontal="center" wrapText="1"/>
    </xf>
    <xf numFmtId="0" fontId="19" fillId="2" borderId="0" xfId="0" applyFont="1" applyFill="1" applyAlignment="1">
      <alignment horizontal="center" wrapText="1"/>
    </xf>
    <xf numFmtId="0" fontId="21" fillId="2" borderId="0" xfId="0" applyFont="1" applyFill="1" applyAlignment="1">
      <alignment horizontal="center"/>
    </xf>
    <xf numFmtId="0" fontId="36" fillId="6" borderId="0" xfId="0" applyFont="1" applyFill="1"/>
    <xf numFmtId="166" fontId="21" fillId="2" borderId="0" xfId="0" applyNumberFormat="1" applyFont="1" applyFill="1" applyAlignment="1">
      <alignment horizontal="center"/>
    </xf>
    <xf numFmtId="166" fontId="18" fillId="2" borderId="0" xfId="0" applyNumberFormat="1" applyFont="1" applyFill="1" applyAlignment="1">
      <alignment horizontal="center"/>
    </xf>
    <xf numFmtId="166" fontId="27" fillId="2" borderId="0" xfId="0" applyNumberFormat="1" applyFont="1" applyFill="1"/>
    <xf numFmtId="166" fontId="27" fillId="2" borderId="4" xfId="0" applyNumberFormat="1" applyFont="1" applyFill="1" applyBorder="1"/>
    <xf numFmtId="166" fontId="4" fillId="2" borderId="3" xfId="0" applyNumberFormat="1" applyFont="1" applyFill="1" applyBorder="1" applyAlignment="1">
      <alignment vertical="center"/>
    </xf>
    <xf numFmtId="0" fontId="34" fillId="4" borderId="0" xfId="0" applyFont="1" applyFill="1" applyAlignment="1">
      <alignment horizontal="left" vertical="top"/>
    </xf>
    <xf numFmtId="170" fontId="23" fillId="2" borderId="0" xfId="0" applyNumberFormat="1" applyFont="1" applyFill="1" applyAlignment="1">
      <alignment vertical="top" wrapText="1"/>
    </xf>
    <xf numFmtId="170" fontId="23" fillId="0" borderId="0" xfId="0" applyNumberFormat="1" applyFont="1" applyAlignment="1">
      <alignment vertical="top" wrapText="1"/>
    </xf>
    <xf numFmtId="166" fontId="4" fillId="0" borderId="3" xfId="0" applyNumberFormat="1" applyFont="1" applyBorder="1" applyAlignment="1">
      <alignment vertical="center"/>
    </xf>
    <xf numFmtId="0" fontId="0" fillId="2" borderId="0" xfId="0" applyFill="1" applyAlignment="1">
      <alignment horizontal="center" vertical="top" wrapText="1"/>
    </xf>
    <xf numFmtId="0" fontId="23" fillId="2" borderId="9" xfId="0" applyFont="1" applyFill="1" applyBorder="1" applyAlignment="1">
      <alignment horizontal="center" vertical="top" wrapText="1"/>
    </xf>
    <xf numFmtId="0" fontId="23" fillId="2" borderId="0" xfId="0" applyFont="1" applyFill="1" applyAlignment="1">
      <alignment horizontal="center" vertical="top" wrapText="1"/>
    </xf>
    <xf numFmtId="170" fontId="23" fillId="0" borderId="0" xfId="0" applyNumberFormat="1" applyFont="1" applyAlignment="1">
      <alignment horizontal="center" vertical="top" wrapText="1"/>
    </xf>
    <xf numFmtId="0" fontId="23" fillId="2" borderId="0" xfId="0" applyFont="1" applyFill="1" applyAlignment="1">
      <alignment horizontal="center" vertical="center" wrapText="1"/>
    </xf>
    <xf numFmtId="166" fontId="0" fillId="2" borderId="0" xfId="0" applyNumberFormat="1" applyFill="1" applyAlignment="1">
      <alignment horizontal="center"/>
    </xf>
    <xf numFmtId="166" fontId="5" fillId="2" borderId="0" xfId="0" applyNumberFormat="1" applyFont="1" applyFill="1" applyAlignment="1">
      <alignment horizontal="center"/>
    </xf>
    <xf numFmtId="0" fontId="30" fillId="2" borderId="17" xfId="0" applyFont="1" applyFill="1" applyBorder="1" applyAlignment="1">
      <alignment horizontal="center" wrapText="1"/>
    </xf>
    <xf numFmtId="166" fontId="17" fillId="2" borderId="0" xfId="0" applyNumberFormat="1" applyFont="1" applyFill="1" applyAlignment="1">
      <alignment horizontal="center"/>
    </xf>
    <xf numFmtId="0" fontId="40" fillId="0" borderId="5" xfId="0" applyFont="1" applyBorder="1"/>
    <xf numFmtId="0" fontId="40" fillId="0" borderId="5" xfId="0" applyFont="1" applyBorder="1" applyAlignment="1">
      <alignment horizontal="center"/>
    </xf>
    <xf numFmtId="8" fontId="40" fillId="0" borderId="5" xfId="0" applyNumberFormat="1" applyFont="1" applyBorder="1"/>
    <xf numFmtId="0" fontId="0" fillId="7" borderId="5" xfId="0" applyFill="1" applyBorder="1"/>
    <xf numFmtId="0" fontId="0" fillId="7" borderId="5" xfId="0" applyFill="1" applyBorder="1" applyAlignment="1">
      <alignment horizontal="center"/>
    </xf>
    <xf numFmtId="8" fontId="0" fillId="7" borderId="5" xfId="0" applyNumberFormat="1" applyFill="1" applyBorder="1"/>
    <xf numFmtId="0" fontId="0" fillId="4" borderId="5" xfId="0" applyFill="1" applyBorder="1"/>
    <xf numFmtId="0" fontId="0" fillId="4" borderId="5" xfId="0" applyFill="1" applyBorder="1" applyAlignment="1">
      <alignment horizontal="center"/>
    </xf>
    <xf numFmtId="0" fontId="0" fillId="8" borderId="0" xfId="0" applyFill="1"/>
    <xf numFmtId="166" fontId="0" fillId="8" borderId="0" xfId="0" applyNumberFormat="1" applyFill="1"/>
    <xf numFmtId="0" fontId="1" fillId="8" borderId="0" xfId="0" applyFont="1" applyFill="1"/>
    <xf numFmtId="164" fontId="0" fillId="0" borderId="0" xfId="0" applyNumberFormat="1"/>
    <xf numFmtId="0" fontId="31" fillId="2" borderId="15" xfId="0" applyFont="1" applyFill="1" applyBorder="1" applyAlignment="1">
      <alignment vertical="top"/>
    </xf>
    <xf numFmtId="0" fontId="0" fillId="0" borderId="0" xfId="0" applyAlignment="1">
      <alignment horizontal="right" vertical="center"/>
    </xf>
    <xf numFmtId="8" fontId="0" fillId="9" borderId="5" xfId="0" applyNumberFormat="1" applyFill="1" applyBorder="1"/>
    <xf numFmtId="166" fontId="0" fillId="4" borderId="0" xfId="0" applyNumberFormat="1" applyFill="1"/>
    <xf numFmtId="166" fontId="0" fillId="10" borderId="5" xfId="0" applyNumberFormat="1" applyFill="1" applyBorder="1"/>
    <xf numFmtId="166" fontId="0" fillId="10" borderId="5" xfId="0" applyNumberFormat="1" applyFill="1" applyBorder="1" applyAlignment="1">
      <alignment horizontal="right"/>
    </xf>
    <xf numFmtId="165" fontId="0" fillId="10" borderId="5" xfId="0" applyNumberFormat="1" applyFill="1" applyBorder="1"/>
    <xf numFmtId="8" fontId="0" fillId="10" borderId="5" xfId="0" applyNumberFormat="1" applyFill="1" applyBorder="1"/>
    <xf numFmtId="166" fontId="0" fillId="10" borderId="0" xfId="0" applyNumberFormat="1" applyFill="1"/>
    <xf numFmtId="0" fontId="0" fillId="11" borderId="5" xfId="0" applyFill="1" applyBorder="1"/>
    <xf numFmtId="0" fontId="0" fillId="11" borderId="5" xfId="0" applyFill="1" applyBorder="1" applyAlignment="1">
      <alignment horizontal="center"/>
    </xf>
    <xf numFmtId="8" fontId="0" fillId="11" borderId="5" xfId="0" applyNumberFormat="1" applyFill="1" applyBorder="1"/>
    <xf numFmtId="0" fontId="0" fillId="11" borderId="5" xfId="0" applyFill="1" applyBorder="1" applyAlignment="1">
      <alignment horizontal="right"/>
    </xf>
    <xf numFmtId="166" fontId="0" fillId="11" borderId="5" xfId="0" applyNumberFormat="1" applyFill="1" applyBorder="1"/>
    <xf numFmtId="0" fontId="21" fillId="2" borderId="0" xfId="0" applyFont="1" applyFill="1" applyAlignment="1">
      <alignment horizontal="left" wrapText="1"/>
    </xf>
    <xf numFmtId="0" fontId="23" fillId="2" borderId="5" xfId="0" applyFont="1" applyFill="1" applyBorder="1" applyAlignment="1">
      <alignment horizontal="left" vertical="center" wrapText="1"/>
    </xf>
    <xf numFmtId="0" fontId="27" fillId="2" borderId="0" xfId="0" applyFont="1" applyFill="1" applyAlignment="1">
      <alignment horizontal="left"/>
    </xf>
    <xf numFmtId="0" fontId="21" fillId="2" borderId="0" xfId="0" applyFont="1" applyFill="1" applyAlignment="1">
      <alignment horizontal="left"/>
    </xf>
    <xf numFmtId="0" fontId="27" fillId="2" borderId="0" xfId="0" applyFont="1" applyFill="1" applyAlignment="1">
      <alignment horizontal="left" vertical="top"/>
    </xf>
    <xf numFmtId="0" fontId="21" fillId="2" borderId="0" xfId="0" applyFont="1" applyFill="1" applyAlignment="1">
      <alignment horizontal="center"/>
    </xf>
    <xf numFmtId="0" fontId="21" fillId="2" borderId="9" xfId="0" applyFont="1" applyFill="1" applyBorder="1" applyAlignment="1">
      <alignment horizontal="left"/>
    </xf>
    <xf numFmtId="0" fontId="15" fillId="2" borderId="0" xfId="0" applyFont="1" applyFill="1" applyAlignment="1">
      <alignment horizontal="center" wrapText="1"/>
    </xf>
    <xf numFmtId="0" fontId="15" fillId="2" borderId="0" xfId="0" applyFont="1" applyFill="1" applyAlignment="1">
      <alignment horizontal="left" wrapText="1"/>
    </xf>
    <xf numFmtId="0" fontId="28" fillId="2" borderId="0" xfId="0" applyFont="1" applyFill="1" applyAlignment="1">
      <alignment horizontal="center"/>
    </xf>
    <xf numFmtId="0" fontId="35" fillId="0" borderId="17" xfId="0" applyFont="1" applyBorder="1" applyAlignment="1">
      <alignment horizontal="left" vertical="center" wrapText="1"/>
    </xf>
    <xf numFmtId="0" fontId="21" fillId="2" borderId="0" xfId="0" applyFont="1" applyFill="1" applyAlignment="1">
      <alignment horizontal="center" vertical="top" wrapText="1"/>
    </xf>
    <xf numFmtId="0" fontId="23" fillId="2" borderId="0" xfId="0" applyFont="1" applyFill="1" applyAlignment="1">
      <alignment horizontal="left" vertical="top" wrapText="1"/>
    </xf>
    <xf numFmtId="0" fontId="24" fillId="2" borderId="0" xfId="0" applyFont="1" applyFill="1" applyAlignment="1">
      <alignment horizontal="left" vertical="top" wrapText="1"/>
    </xf>
    <xf numFmtId="0" fontId="25" fillId="2" borderId="0" xfId="0" applyFont="1" applyFill="1" applyAlignment="1">
      <alignment horizontal="left" vertical="top" wrapText="1"/>
    </xf>
    <xf numFmtId="0" fontId="0" fillId="2" borderId="0" xfId="0" applyFill="1" applyAlignment="1">
      <alignment horizontal="center"/>
    </xf>
    <xf numFmtId="0" fontId="20" fillId="2" borderId="0" xfId="0" applyFont="1" applyFill="1" applyAlignment="1">
      <alignment horizontal="center" wrapText="1"/>
    </xf>
    <xf numFmtId="0" fontId="24" fillId="2" borderId="8" xfId="0" applyFont="1" applyFill="1" applyBorder="1" applyAlignment="1">
      <alignment horizontal="center" vertical="top" wrapText="1"/>
    </xf>
    <xf numFmtId="0" fontId="23" fillId="2" borderId="11" xfId="0" applyFont="1" applyFill="1" applyBorder="1" applyAlignment="1">
      <alignment horizontal="left" vertical="center" wrapText="1"/>
    </xf>
    <xf numFmtId="0" fontId="23" fillId="2" borderId="9" xfId="0" applyFont="1" applyFill="1" applyBorder="1" applyAlignment="1">
      <alignment horizontal="left" vertical="center" wrapText="1"/>
    </xf>
    <xf numFmtId="0" fontId="23" fillId="2" borderId="12" xfId="0" applyFont="1" applyFill="1" applyBorder="1" applyAlignment="1">
      <alignment horizontal="left" vertical="center" wrapText="1"/>
    </xf>
    <xf numFmtId="0" fontId="23" fillId="2" borderId="13" xfId="0" applyFont="1" applyFill="1" applyBorder="1" applyAlignment="1">
      <alignment horizontal="left" vertical="center" wrapText="1"/>
    </xf>
    <xf numFmtId="0" fontId="23" fillId="2" borderId="8" xfId="0" applyFont="1" applyFill="1" applyBorder="1" applyAlignment="1">
      <alignment horizontal="left" vertical="center" wrapText="1"/>
    </xf>
    <xf numFmtId="0" fontId="23" fillId="2" borderId="14" xfId="0" applyFont="1" applyFill="1" applyBorder="1" applyAlignment="1">
      <alignment horizontal="left" vertical="center" wrapText="1"/>
    </xf>
    <xf numFmtId="0" fontId="22" fillId="2" borderId="0" xfId="0" applyFont="1" applyFill="1" applyAlignment="1">
      <alignment horizontal="left" vertical="center" wrapText="1"/>
    </xf>
    <xf numFmtId="0" fontId="24" fillId="2" borderId="10" xfId="0" applyFont="1" applyFill="1" applyBorder="1" applyAlignment="1">
      <alignment horizontal="right"/>
    </xf>
    <xf numFmtId="0" fontId="27" fillId="2" borderId="17" xfId="0" applyFont="1" applyFill="1" applyBorder="1" applyAlignment="1">
      <alignment horizontal="left" vertical="top"/>
    </xf>
    <xf numFmtId="0" fontId="23" fillId="2" borderId="0" xfId="0" applyFont="1" applyFill="1" applyAlignment="1">
      <alignment horizontal="left" wrapText="1"/>
    </xf>
    <xf numFmtId="0" fontId="15" fillId="2" borderId="10" xfId="0" applyFont="1" applyFill="1" applyBorder="1" applyAlignment="1">
      <alignment horizontal="left"/>
    </xf>
    <xf numFmtId="0" fontId="15" fillId="2" borderId="0" xfId="0" applyFont="1" applyFill="1" applyAlignment="1">
      <alignment horizontal="left"/>
    </xf>
    <xf numFmtId="166" fontId="4" fillId="2" borderId="2" xfId="0" applyNumberFormat="1" applyFont="1" applyFill="1" applyBorder="1" applyAlignment="1">
      <alignment horizontal="center" vertical="center" wrapText="1"/>
    </xf>
    <xf numFmtId="0" fontId="35" fillId="0" borderId="17" xfId="0" applyFont="1" applyBorder="1" applyAlignment="1">
      <alignment horizontal="left" wrapText="1"/>
    </xf>
    <xf numFmtId="0" fontId="22" fillId="2" borderId="0" xfId="0" applyFont="1" applyFill="1" applyAlignment="1">
      <alignment horizontal="right"/>
    </xf>
    <xf numFmtId="166" fontId="22" fillId="2" borderId="1" xfId="0" applyNumberFormat="1" applyFont="1" applyFill="1" applyBorder="1" applyAlignment="1">
      <alignment horizontal="center"/>
    </xf>
    <xf numFmtId="166" fontId="22" fillId="2" borderId="2" xfId="0" applyNumberFormat="1" applyFont="1" applyFill="1" applyBorder="1" applyAlignment="1">
      <alignment horizontal="center"/>
    </xf>
    <xf numFmtId="166" fontId="22" fillId="2" borderId="3" xfId="0" applyNumberFormat="1" applyFont="1" applyFill="1" applyBorder="1" applyAlignment="1">
      <alignment horizontal="center"/>
    </xf>
    <xf numFmtId="0" fontId="27" fillId="0" borderId="0" xfId="0" applyFont="1" applyAlignment="1">
      <alignment horizontal="left" wrapText="1"/>
    </xf>
    <xf numFmtId="0" fontId="34" fillId="4" borderId="10" xfId="0" applyFont="1" applyFill="1" applyBorder="1" applyAlignment="1">
      <alignment horizontal="left" vertical="top"/>
    </xf>
    <xf numFmtId="0" fontId="30" fillId="2" borderId="18" xfId="0" applyFont="1" applyFill="1" applyBorder="1" applyAlignment="1">
      <alignment horizontal="center" wrapText="1"/>
    </xf>
    <xf numFmtId="0" fontId="16" fillId="2" borderId="0" xfId="0" applyFont="1" applyFill="1" applyAlignment="1">
      <alignment horizontal="left" wrapText="1"/>
    </xf>
    <xf numFmtId="0" fontId="17" fillId="2" borderId="0" xfId="0" applyFont="1" applyFill="1" applyAlignment="1">
      <alignment vertical="center" wrapText="1"/>
    </xf>
    <xf numFmtId="0" fontId="17" fillId="2" borderId="0" xfId="0" applyFont="1" applyFill="1" applyAlignment="1">
      <alignment horizontal="left" wrapText="1"/>
    </xf>
    <xf numFmtId="0" fontId="21" fillId="2" borderId="0" xfId="0" applyFont="1" applyFill="1" applyAlignment="1">
      <alignment horizontal="left" vertical="top" wrapText="1"/>
    </xf>
    <xf numFmtId="0" fontId="17" fillId="2" borderId="6" xfId="0" applyFont="1" applyFill="1" applyBorder="1" applyAlignment="1">
      <alignment horizontal="left" vertical="center" wrapText="1"/>
    </xf>
    <xf numFmtId="0" fontId="17" fillId="2" borderId="24" xfId="0" applyFont="1" applyFill="1" applyBorder="1" applyAlignment="1">
      <alignment horizontal="left" vertical="center" wrapText="1"/>
    </xf>
    <xf numFmtId="0" fontId="17" fillId="2" borderId="7" xfId="0" applyFont="1" applyFill="1" applyBorder="1" applyAlignment="1">
      <alignment horizontal="left" vertical="center" wrapText="1"/>
    </xf>
    <xf numFmtId="0" fontId="17" fillId="2" borderId="0" xfId="0" applyFont="1" applyFill="1" applyAlignment="1">
      <alignment horizontal="left" vertical="center" wrapText="1"/>
    </xf>
    <xf numFmtId="0" fontId="35" fillId="4" borderId="17" xfId="0" applyFont="1" applyFill="1" applyBorder="1" applyAlignment="1">
      <alignment horizontal="left" wrapText="1"/>
    </xf>
    <xf numFmtId="0" fontId="35" fillId="4" borderId="17" xfId="0" applyFont="1" applyFill="1" applyBorder="1" applyAlignment="1">
      <alignment horizontal="left" vertical="center" wrapText="1"/>
    </xf>
    <xf numFmtId="170" fontId="23" fillId="2" borderId="0" xfId="0" applyNumberFormat="1" applyFont="1" applyFill="1" applyAlignment="1">
      <alignment horizontal="center" vertical="top" wrapText="1"/>
    </xf>
    <xf numFmtId="0" fontId="35" fillId="0" borderId="1" xfId="0" applyFont="1" applyBorder="1" applyAlignment="1">
      <alignment horizontal="left" wrapText="1"/>
    </xf>
    <xf numFmtId="0" fontId="35" fillId="0" borderId="2" xfId="0" applyFont="1" applyBorder="1" applyAlignment="1">
      <alignment horizontal="left" wrapText="1"/>
    </xf>
    <xf numFmtId="0" fontId="35" fillId="0" borderId="0" xfId="0" applyFont="1" applyAlignment="1">
      <alignment horizontal="left" vertical="center" wrapText="1"/>
    </xf>
    <xf numFmtId="166" fontId="4" fillId="0" borderId="2" xfId="0" applyNumberFormat="1" applyFont="1" applyBorder="1" applyAlignment="1">
      <alignment horizontal="center" vertical="center" wrapText="1"/>
    </xf>
    <xf numFmtId="0" fontId="37" fillId="6" borderId="0" xfId="0" applyFont="1" applyFill="1" applyAlignment="1">
      <alignment horizontal="left"/>
    </xf>
  </cellXfs>
  <cellStyles count="1">
    <cellStyle name="Normal" xfId="0" builtinId="0"/>
  </cellStyles>
  <dxfs count="7">
    <dxf>
      <alignment horizontal="center" vertical="center" textRotation="0" indent="0" justifyLastLine="0" shrinkToFit="0" readingOrder="0"/>
    </dxf>
    <dxf>
      <font>
        <b val="0"/>
        <i val="0"/>
        <strike val="0"/>
        <condense val="0"/>
        <extend val="0"/>
        <outline val="0"/>
        <shadow val="0"/>
        <u val="none"/>
        <vertAlign val="baseline"/>
        <sz val="8"/>
        <color theme="1"/>
        <name val="Calibri"/>
        <family val="2"/>
        <scheme val="minor"/>
      </font>
      <alignment horizontal="left" vertical="center" textRotation="0" wrapText="1" indent="0" justifyLastLine="0" shrinkToFit="0" readingOrder="0"/>
    </dxf>
    <dxf>
      <font>
        <strike val="0"/>
        <outline val="0"/>
        <shadow val="0"/>
        <u val="none"/>
        <vertAlign val="baseline"/>
        <sz val="8"/>
        <color theme="1"/>
        <name val="Calibri"/>
        <family val="2"/>
        <scheme val="minor"/>
      </font>
      <alignment horizontal="left" vertical="center" textRotation="0" wrapText="1" indent="0" justifyLastLine="0" shrinkToFit="0" readingOrder="0"/>
    </dxf>
    <dxf>
      <alignment horizontal="center" vertical="center" textRotation="0" wrapText="1" indent="0" justifyLastLine="0" shrinkToFit="0" readingOrder="0"/>
    </dxf>
    <dxf>
      <numFmt numFmtId="166" formatCode="&quot;R&quot;#,##0.00"/>
    </dxf>
    <dxf>
      <numFmt numFmtId="166" formatCode="&quot;R&quot;#,##0.00"/>
    </dxf>
    <dxf>
      <numFmt numFmtId="166" formatCode="&quot;R&quot;#,##0.00"/>
    </dxf>
  </dxfs>
  <tableStyles count="0" defaultTableStyle="TableStyleMedium2" defaultPivotStyle="PivotStyleLight16"/>
  <colors>
    <mruColors>
      <color rgb="FFFF38F9"/>
      <color rgb="FFDDD7FF"/>
      <color rgb="FFFFD2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gif"/><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jpg"/></Relationships>
</file>

<file path=xl/drawings/_rels/drawing3.xml.rels><?xml version="1.0" encoding="UTF-8" standalone="yes"?>
<Relationships xmlns="http://schemas.openxmlformats.org/package/2006/relationships"><Relationship Id="rId1" Type="http://schemas.openxmlformats.org/officeDocument/2006/relationships/image" Target="../media/image1.jpg"/></Relationships>
</file>

<file path=xl/drawings/_rels/drawing4.xml.rels><?xml version="1.0" encoding="UTF-8" standalone="yes"?>
<Relationships xmlns="http://schemas.openxmlformats.org/package/2006/relationships"><Relationship Id="rId1" Type="http://schemas.openxmlformats.org/officeDocument/2006/relationships/image" Target="../media/image1.jpg"/></Relationships>
</file>

<file path=xl/drawings/_rels/drawing5.xml.rels><?xml version="1.0" encoding="UTF-8" standalone="yes"?>
<Relationships xmlns="http://schemas.openxmlformats.org/package/2006/relationships"><Relationship Id="rId3" Type="http://schemas.openxmlformats.org/officeDocument/2006/relationships/image" Target="../media/image2.gif"/><Relationship Id="rId2" Type="http://schemas.openxmlformats.org/officeDocument/2006/relationships/image" Target="../media/image3.png"/><Relationship Id="rId1" Type="http://schemas.openxmlformats.org/officeDocument/2006/relationships/image" Target="../media/image1.jpg"/></Relationships>
</file>

<file path=xl/drawings/_rels/drawing6.xml.rels><?xml version="1.0" encoding="UTF-8" standalone="yes"?>
<Relationships xmlns="http://schemas.openxmlformats.org/package/2006/relationships"><Relationship Id="rId2" Type="http://schemas.openxmlformats.org/officeDocument/2006/relationships/image" Target="../media/image30.png"/><Relationship Id="rId1" Type="http://schemas.openxmlformats.org/officeDocument/2006/relationships/customXml" Target="../ink/ink1.xml"/></Relationships>
</file>

<file path=xl/drawings/drawing1.xml><?xml version="1.0" encoding="utf-8"?>
<xdr:wsDr xmlns:xdr="http://schemas.openxmlformats.org/drawingml/2006/spreadsheetDrawing" xmlns:a="http://schemas.openxmlformats.org/drawingml/2006/main">
  <xdr:twoCellAnchor editAs="oneCell">
    <xdr:from>
      <xdr:col>4</xdr:col>
      <xdr:colOff>451662</xdr:colOff>
      <xdr:row>0</xdr:row>
      <xdr:rowOff>0</xdr:rowOff>
    </xdr:from>
    <xdr:to>
      <xdr:col>10</xdr:col>
      <xdr:colOff>1003300</xdr:colOff>
      <xdr:row>9</xdr:row>
      <xdr:rowOff>955152</xdr:rowOff>
    </xdr:to>
    <xdr:pic>
      <xdr:nvPicPr>
        <xdr:cNvPr id="6" name="Picture 5">
          <a:extLst>
            <a:ext uri="{FF2B5EF4-FFF2-40B4-BE49-F238E27FC236}">
              <a16:creationId xmlns:a16="http://schemas.microsoft.com/office/drawing/2014/main" id="{1DB293AC-038C-4BEE-A670-43C0A0A6A5D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096562" y="0"/>
          <a:ext cx="6533338" cy="3711052"/>
        </a:xfrm>
        <a:prstGeom prst="rect">
          <a:avLst/>
        </a:prstGeom>
      </xdr:spPr>
    </xdr:pic>
    <xdr:clientData/>
  </xdr:twoCellAnchor>
  <xdr:twoCellAnchor editAs="oneCell">
    <xdr:from>
      <xdr:col>4</xdr:col>
      <xdr:colOff>613644</xdr:colOff>
      <xdr:row>93</xdr:row>
      <xdr:rowOff>33320</xdr:rowOff>
    </xdr:from>
    <xdr:to>
      <xdr:col>10</xdr:col>
      <xdr:colOff>1143000</xdr:colOff>
      <xdr:row>103</xdr:row>
      <xdr:rowOff>283838</xdr:rowOff>
    </xdr:to>
    <xdr:pic>
      <xdr:nvPicPr>
        <xdr:cNvPr id="8" name="Picture 7" descr="Image result for dental chart tooth numbers">
          <a:extLst>
            <a:ext uri="{FF2B5EF4-FFF2-40B4-BE49-F238E27FC236}">
              <a16:creationId xmlns:a16="http://schemas.microsoft.com/office/drawing/2014/main" id="{5E7DFD1A-C9D2-4101-8239-049E2C7400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258544" y="38450820"/>
          <a:ext cx="6511056" cy="32985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917609</xdr:colOff>
      <xdr:row>178</xdr:row>
      <xdr:rowOff>117055</xdr:rowOff>
    </xdr:from>
    <xdr:to>
      <xdr:col>12</xdr:col>
      <xdr:colOff>478914</xdr:colOff>
      <xdr:row>182</xdr:row>
      <xdr:rowOff>496798</xdr:rowOff>
    </xdr:to>
    <xdr:pic>
      <xdr:nvPicPr>
        <xdr:cNvPr id="3" name="Picture 2">
          <a:extLst>
            <a:ext uri="{FF2B5EF4-FFF2-40B4-BE49-F238E27FC236}">
              <a16:creationId xmlns:a16="http://schemas.microsoft.com/office/drawing/2014/main" id="{7EB8E27D-40B4-0B4A-892A-859F8E0D960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778909" y="86146855"/>
          <a:ext cx="5657305" cy="33769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1162862</xdr:colOff>
      <xdr:row>0</xdr:row>
      <xdr:rowOff>0</xdr:rowOff>
    </xdr:from>
    <xdr:to>
      <xdr:col>10</xdr:col>
      <xdr:colOff>50800</xdr:colOff>
      <xdr:row>8</xdr:row>
      <xdr:rowOff>1434013</xdr:rowOff>
    </xdr:to>
    <xdr:pic>
      <xdr:nvPicPr>
        <xdr:cNvPr id="2" name="Picture 1">
          <a:extLst>
            <a:ext uri="{FF2B5EF4-FFF2-40B4-BE49-F238E27FC236}">
              <a16:creationId xmlns:a16="http://schemas.microsoft.com/office/drawing/2014/main" id="{0D6D0C87-CF9F-1F4B-93CF-F19619F6126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807762" y="0"/>
          <a:ext cx="4869638" cy="3224713"/>
        </a:xfrm>
        <a:prstGeom prst="rect">
          <a:avLst/>
        </a:prstGeom>
      </xdr:spPr>
    </xdr:pic>
    <xdr:clientData/>
  </xdr:twoCellAnchor>
  <xdr:twoCellAnchor editAs="oneCell">
    <xdr:from>
      <xdr:col>7</xdr:col>
      <xdr:colOff>117509</xdr:colOff>
      <xdr:row>133</xdr:row>
      <xdr:rowOff>15455</xdr:rowOff>
    </xdr:from>
    <xdr:to>
      <xdr:col>13</xdr:col>
      <xdr:colOff>783714</xdr:colOff>
      <xdr:row>149</xdr:row>
      <xdr:rowOff>141198</xdr:rowOff>
    </xdr:to>
    <xdr:pic>
      <xdr:nvPicPr>
        <xdr:cNvPr id="4" name="Picture 3">
          <a:extLst>
            <a:ext uri="{FF2B5EF4-FFF2-40B4-BE49-F238E27FC236}">
              <a16:creationId xmlns:a16="http://schemas.microsoft.com/office/drawing/2014/main" id="{4B834AC8-8855-4841-BDC4-A5C32A99387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924709" y="89156755"/>
          <a:ext cx="5619205" cy="337694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337362</xdr:colOff>
      <xdr:row>0</xdr:row>
      <xdr:rowOff>0</xdr:rowOff>
    </xdr:from>
    <xdr:to>
      <xdr:col>11</xdr:col>
      <xdr:colOff>177800</xdr:colOff>
      <xdr:row>8</xdr:row>
      <xdr:rowOff>55674</xdr:rowOff>
    </xdr:to>
    <xdr:pic>
      <xdr:nvPicPr>
        <xdr:cNvPr id="2" name="Picture 1">
          <a:extLst>
            <a:ext uri="{FF2B5EF4-FFF2-40B4-BE49-F238E27FC236}">
              <a16:creationId xmlns:a16="http://schemas.microsoft.com/office/drawing/2014/main" id="{49B17D99-21A9-8243-AF1B-0D9D8CCD132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829862" y="0"/>
          <a:ext cx="7041338" cy="4487974"/>
        </a:xfrm>
        <a:prstGeom prst="rect">
          <a:avLst/>
        </a:prstGeom>
      </xdr:spPr>
    </xdr:pic>
    <xdr:clientData/>
  </xdr:twoCellAnchor>
  <xdr:twoCellAnchor editAs="oneCell">
    <xdr:from>
      <xdr:col>4</xdr:col>
      <xdr:colOff>451662</xdr:colOff>
      <xdr:row>0</xdr:row>
      <xdr:rowOff>0</xdr:rowOff>
    </xdr:from>
    <xdr:to>
      <xdr:col>11</xdr:col>
      <xdr:colOff>127000</xdr:colOff>
      <xdr:row>4</xdr:row>
      <xdr:rowOff>91552</xdr:rowOff>
    </xdr:to>
    <xdr:pic>
      <xdr:nvPicPr>
        <xdr:cNvPr id="4" name="Picture 3">
          <a:extLst>
            <a:ext uri="{FF2B5EF4-FFF2-40B4-BE49-F238E27FC236}">
              <a16:creationId xmlns:a16="http://schemas.microsoft.com/office/drawing/2014/main" id="{F83AED1E-F23F-7440-A718-C6DC61F3437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125262" y="0"/>
          <a:ext cx="6533338" cy="371105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845362</xdr:colOff>
      <xdr:row>0</xdr:row>
      <xdr:rowOff>38100</xdr:rowOff>
    </xdr:from>
    <xdr:to>
      <xdr:col>10</xdr:col>
      <xdr:colOff>513812</xdr:colOff>
      <xdr:row>8</xdr:row>
      <xdr:rowOff>1752600</xdr:rowOff>
    </xdr:to>
    <xdr:pic>
      <xdr:nvPicPr>
        <xdr:cNvPr id="2" name="Picture 1">
          <a:extLst>
            <a:ext uri="{FF2B5EF4-FFF2-40B4-BE49-F238E27FC236}">
              <a16:creationId xmlns:a16="http://schemas.microsoft.com/office/drawing/2014/main" id="{5E94FE30-E56F-2849-BD41-6E368F8F650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518962" y="38100"/>
          <a:ext cx="5650150" cy="35052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769162</xdr:colOff>
      <xdr:row>0</xdr:row>
      <xdr:rowOff>50800</xdr:rowOff>
    </xdr:from>
    <xdr:to>
      <xdr:col>10</xdr:col>
      <xdr:colOff>749300</xdr:colOff>
      <xdr:row>8</xdr:row>
      <xdr:rowOff>114300</xdr:rowOff>
    </xdr:to>
    <xdr:pic>
      <xdr:nvPicPr>
        <xdr:cNvPr id="2" name="Picture 1">
          <a:extLst>
            <a:ext uri="{FF2B5EF4-FFF2-40B4-BE49-F238E27FC236}">
              <a16:creationId xmlns:a16="http://schemas.microsoft.com/office/drawing/2014/main" id="{401F7E4A-A34A-1848-B2C7-F60D6E3F9E4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436162" y="50800"/>
          <a:ext cx="7142938" cy="4381500"/>
        </a:xfrm>
        <a:prstGeom prst="rect">
          <a:avLst/>
        </a:prstGeom>
      </xdr:spPr>
    </xdr:pic>
    <xdr:clientData/>
  </xdr:twoCellAnchor>
  <xdr:twoCellAnchor editAs="oneCell">
    <xdr:from>
      <xdr:col>7</xdr:col>
      <xdr:colOff>117509</xdr:colOff>
      <xdr:row>187</xdr:row>
      <xdr:rowOff>15455</xdr:rowOff>
    </xdr:from>
    <xdr:to>
      <xdr:col>12</xdr:col>
      <xdr:colOff>529714</xdr:colOff>
      <xdr:row>204</xdr:row>
      <xdr:rowOff>179298</xdr:rowOff>
    </xdr:to>
    <xdr:pic>
      <xdr:nvPicPr>
        <xdr:cNvPr id="4" name="Picture 3">
          <a:extLst>
            <a:ext uri="{FF2B5EF4-FFF2-40B4-BE49-F238E27FC236}">
              <a16:creationId xmlns:a16="http://schemas.microsoft.com/office/drawing/2014/main" id="{2AA9DE08-A223-BD4B-891D-7D1288C6FB8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115209" y="91887255"/>
          <a:ext cx="5619205" cy="3872243"/>
        </a:xfrm>
        <a:prstGeom prst="rect">
          <a:avLst/>
        </a:prstGeom>
      </xdr:spPr>
    </xdr:pic>
    <xdr:clientData/>
  </xdr:twoCellAnchor>
  <xdr:twoCellAnchor editAs="oneCell">
    <xdr:from>
      <xdr:col>7</xdr:col>
      <xdr:colOff>117509</xdr:colOff>
      <xdr:row>185</xdr:row>
      <xdr:rowOff>15455</xdr:rowOff>
    </xdr:from>
    <xdr:to>
      <xdr:col>13</xdr:col>
      <xdr:colOff>203200</xdr:colOff>
      <xdr:row>200</xdr:row>
      <xdr:rowOff>90398</xdr:rowOff>
    </xdr:to>
    <xdr:pic>
      <xdr:nvPicPr>
        <xdr:cNvPr id="6" name="Picture 5">
          <a:extLst>
            <a:ext uri="{FF2B5EF4-FFF2-40B4-BE49-F238E27FC236}">
              <a16:creationId xmlns:a16="http://schemas.microsoft.com/office/drawing/2014/main" id="{16D42238-F037-C84A-BC8D-192E6E48F605}"/>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953409" y="81066855"/>
          <a:ext cx="5940391" cy="3872243"/>
        </a:xfrm>
        <a:prstGeom prst="rect">
          <a:avLst/>
        </a:prstGeom>
      </xdr:spPr>
    </xdr:pic>
    <xdr:clientData/>
  </xdr:twoCellAnchor>
  <xdr:twoCellAnchor editAs="oneCell">
    <xdr:from>
      <xdr:col>4</xdr:col>
      <xdr:colOff>613644</xdr:colOff>
      <xdr:row>105</xdr:row>
      <xdr:rowOff>33320</xdr:rowOff>
    </xdr:from>
    <xdr:to>
      <xdr:col>11</xdr:col>
      <xdr:colOff>609600</xdr:colOff>
      <xdr:row>115</xdr:row>
      <xdr:rowOff>29838</xdr:rowOff>
    </xdr:to>
    <xdr:pic>
      <xdr:nvPicPr>
        <xdr:cNvPr id="7" name="Picture 6" descr="Image result for dental chart tooth numbers">
          <a:extLst>
            <a:ext uri="{FF2B5EF4-FFF2-40B4-BE49-F238E27FC236}">
              <a16:creationId xmlns:a16="http://schemas.microsoft.com/office/drawing/2014/main" id="{D426B5B9-5BBF-E24F-8EA2-03776CE5409B}"/>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287244" y="36355320"/>
          <a:ext cx="6853956" cy="32985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117509</xdr:colOff>
      <xdr:row>189</xdr:row>
      <xdr:rowOff>15455</xdr:rowOff>
    </xdr:from>
    <xdr:to>
      <xdr:col>14</xdr:col>
      <xdr:colOff>72514</xdr:colOff>
      <xdr:row>208</xdr:row>
      <xdr:rowOff>26898</xdr:rowOff>
    </xdr:to>
    <xdr:pic>
      <xdr:nvPicPr>
        <xdr:cNvPr id="8" name="Picture 7">
          <a:extLst>
            <a:ext uri="{FF2B5EF4-FFF2-40B4-BE49-F238E27FC236}">
              <a16:creationId xmlns:a16="http://schemas.microsoft.com/office/drawing/2014/main" id="{2BB37283-7EBF-2F42-9253-67378E4C72B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953409" y="82387655"/>
          <a:ext cx="7168605" cy="387224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1571280</xdr:colOff>
      <xdr:row>157</xdr:row>
      <xdr:rowOff>81870</xdr:rowOff>
    </xdr:from>
    <xdr:to>
      <xdr:col>2</xdr:col>
      <xdr:colOff>1581165</xdr:colOff>
      <xdr:row>157</xdr:row>
      <xdr:rowOff>95565</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2" name="Ink 1">
              <a:extLst>
                <a:ext uri="{FF2B5EF4-FFF2-40B4-BE49-F238E27FC236}">
                  <a16:creationId xmlns:a16="http://schemas.microsoft.com/office/drawing/2014/main" id="{9944165C-BDA4-4395-80BF-915BA5648FDA}"/>
                </a:ext>
              </a:extLst>
            </xdr14:cNvPr>
            <xdr14:cNvContentPartPr/>
          </xdr14:nvContentPartPr>
          <xdr14:nvPr macro=""/>
          <xdr14:xfrm>
            <a:off x="3323880" y="24919260"/>
            <a:ext cx="360" cy="360"/>
          </xdr14:xfrm>
        </xdr:contentPart>
      </mc:Choice>
      <mc:Fallback xmlns="">
        <xdr:pic>
          <xdr:nvPicPr>
            <xdr:cNvPr id="2" name="Ink 1">
              <a:extLst>
                <a:ext uri="{FF2B5EF4-FFF2-40B4-BE49-F238E27FC236}">
                  <a16:creationId xmlns:a16="http://schemas.microsoft.com/office/drawing/2014/main" id="{9944165C-BDA4-4395-80BF-915BA5648FDA}"/>
                </a:ext>
              </a:extLst>
            </xdr:cNvPr>
            <xdr:cNvPicPr/>
          </xdr:nvPicPr>
          <xdr:blipFill>
            <a:blip xmlns:r="http://schemas.openxmlformats.org/officeDocument/2006/relationships" r:embed="rId2"/>
            <a:stretch>
              <a:fillRect/>
            </a:stretch>
          </xdr:blipFill>
          <xdr:spPr>
            <a:xfrm>
              <a:off x="3315240" y="24910260"/>
              <a:ext cx="18000" cy="18000"/>
            </a:xfrm>
            <a:prstGeom prst="rect">
              <a:avLst/>
            </a:prstGeom>
          </xdr:spPr>
        </xdr:pic>
      </mc:Fallback>
    </mc:AlternateContent>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19-06-11T06:59:17.991"/>
    </inkml:context>
    <inkml:brush xml:id="br0">
      <inkml:brushProperty name="width" value="0.05" units="cm"/>
      <inkml:brushProperty name="height" value="0.05" units="cm"/>
    </inkml:brush>
  </inkml:definitions>
  <inkml:trace contextRef="#ctx0" brushRef="#br0">1 0 0,'0'0'32767</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863B83-7DCD-024A-89BF-ABFF6DD9CE1D}" name="Table1" displayName="Table1" ref="B3:G344" totalsRowShown="0">
  <autoFilter ref="B3:G344" xr:uid="{834C479C-7F0A-AB48-AEDD-B825B4336D43}"/>
  <tableColumns count="6">
    <tableColumn id="1" xr3:uid="{F1ECB146-0415-0146-AC38-C0ED63CC0163}" name="Item Code"/>
    <tableColumn id="2" xr3:uid="{75D4C16E-F930-D443-9438-B26BC2A6AF6A}" name="Descriptions"/>
    <tableColumn id="3" xr3:uid="{034B4E8A-0E4D-5747-AD6E-3E55887B3F6F}" name="ICD-10 Codes"/>
    <tableColumn id="4" xr3:uid="{B0575CAF-A5A4-DD41-B06A-A4F1E049DDFE}" name="Unit Cost" dataDxfId="6"/>
    <tableColumn id="6" xr3:uid="{53675BE4-585B-E447-B7E3-8CFDE42FB317}" name="Lab Fee" dataDxfId="5"/>
    <tableColumn id="7" xr3:uid="{883E7C0E-2B1F-0448-AA9A-250387C77FAE}" name="Implant Fees" dataDxfId="4"/>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81E793-ED2D-AF44-A0AA-90234E2A5DD8}" name="Table2" displayName="Table2" ref="B347:E383" totalsRowShown="0">
  <autoFilter ref="B347:E383" xr:uid="{56DBCCC0-8672-4C4F-977D-6427198B037B}"/>
  <tableColumns count="4">
    <tableColumn id="1" xr3:uid="{5C8FAD5A-B6F0-3641-A300-48791E53DED8}" name="Treatment" dataDxfId="3"/>
    <tableColumn id="5" xr3:uid="{C0F3868A-8979-204B-9BED-D5705FB20AAF}" name="What to Expect and Aftercare" dataDxfId="2"/>
    <tableColumn id="2" xr3:uid="{A7C72BFF-2502-C14D-8544-804CE214F993}" name="Terms and Conditions" dataDxfId="1"/>
    <tableColumn id="4" xr3:uid="{A63E2A35-5C63-5C41-B490-99FB3960528B}" name="Warranty"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6.xml"/><Relationship Id="rId1" Type="http://schemas.openxmlformats.org/officeDocument/2006/relationships/printerSettings" Target="../printerSettings/printerSettings3.bin"/><Relationship Id="rId4"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66752-AA54-EF43-ACE4-CEE51E6741AC}">
  <sheetPr>
    <pageSetUpPr fitToPage="1"/>
  </sheetPr>
  <dimension ref="B1:T178"/>
  <sheetViews>
    <sheetView topLeftCell="A168" zoomScale="75" zoomScaleNormal="75" workbookViewId="0">
      <selection activeCell="H176" sqref="H176"/>
    </sheetView>
  </sheetViews>
  <sheetFormatPr baseColWidth="10" defaultColWidth="10.6640625" defaultRowHeight="59.75" customHeight="1" x14ac:dyDescent="0.2"/>
  <cols>
    <col min="1" max="1" width="8" customWidth="1"/>
    <col min="2" max="2" width="10.6640625" style="25" customWidth="1"/>
    <col min="3" max="3" width="27.1640625" style="24" customWidth="1"/>
    <col min="4" max="6" width="15.5" style="25" customWidth="1"/>
    <col min="7" max="7" width="10.5" style="25" customWidth="1"/>
    <col min="8" max="9" width="13.1640625" style="25" customWidth="1"/>
    <col min="10" max="10" width="10.6640625" style="26" customWidth="1"/>
    <col min="11" max="11" width="16" style="25" customWidth="1"/>
    <col min="12" max="12" width="26.5" style="26" customWidth="1"/>
    <col min="13" max="13" width="20.83203125" style="26" customWidth="1"/>
    <col min="14" max="14" width="16.5" style="26" customWidth="1"/>
  </cols>
  <sheetData>
    <row r="1" spans="2:17" ht="24" customHeight="1" x14ac:dyDescent="0.2">
      <c r="B1" s="23"/>
      <c r="C1" s="226"/>
      <c r="D1" s="226"/>
      <c r="E1" s="226"/>
      <c r="F1" s="226"/>
      <c r="G1" s="226"/>
      <c r="H1" s="226"/>
      <c r="I1" s="226"/>
      <c r="J1" s="226"/>
      <c r="K1" s="226"/>
      <c r="L1" s="226"/>
    </row>
    <row r="2" spans="2:17" ht="24" customHeight="1" x14ac:dyDescent="0.3">
      <c r="B2" s="32"/>
      <c r="C2" s="226"/>
      <c r="D2" s="226"/>
      <c r="E2" s="226"/>
      <c r="F2" s="226"/>
      <c r="G2" s="226"/>
      <c r="H2" s="226"/>
      <c r="I2" s="226"/>
      <c r="J2" s="226"/>
      <c r="K2" s="226"/>
      <c r="L2" s="226"/>
    </row>
    <row r="3" spans="2:17" ht="24" customHeight="1" x14ac:dyDescent="0.2">
      <c r="C3" s="226"/>
      <c r="D3" s="226"/>
      <c r="E3" s="226"/>
      <c r="F3" s="226"/>
      <c r="G3" s="226"/>
      <c r="H3" s="226"/>
      <c r="I3" s="226"/>
      <c r="J3" s="226"/>
      <c r="K3" s="226"/>
      <c r="L3" s="226"/>
    </row>
    <row r="4" spans="2:17" s="4" customFormat="1" ht="24" customHeight="1" x14ac:dyDescent="0.25">
      <c r="B4" s="27"/>
      <c r="C4" s="226"/>
      <c r="D4" s="226"/>
      <c r="E4" s="226"/>
      <c r="F4" s="226"/>
      <c r="G4" s="226"/>
      <c r="H4" s="226"/>
      <c r="I4" s="226"/>
      <c r="J4" s="226"/>
      <c r="K4" s="226"/>
      <c r="L4" s="226"/>
      <c r="M4" s="29"/>
      <c r="N4" s="29"/>
    </row>
    <row r="5" spans="2:17" ht="25.25" customHeight="1" x14ac:dyDescent="0.2">
      <c r="C5" s="226"/>
      <c r="D5" s="226"/>
      <c r="E5" s="226"/>
      <c r="F5" s="226"/>
      <c r="G5" s="226"/>
      <c r="H5" s="226"/>
      <c r="I5" s="226"/>
      <c r="J5" s="226"/>
      <c r="K5" s="226"/>
      <c r="L5" s="226"/>
    </row>
    <row r="6" spans="2:17" ht="24" customHeight="1" x14ac:dyDescent="0.2">
      <c r="C6" s="226"/>
      <c r="D6" s="226"/>
      <c r="E6" s="226"/>
      <c r="F6" s="226"/>
      <c r="G6" s="226"/>
      <c r="H6" s="226"/>
      <c r="I6" s="226"/>
      <c r="J6" s="226"/>
      <c r="K6" s="226"/>
      <c r="L6" s="226"/>
    </row>
    <row r="7" spans="2:17" ht="24" customHeight="1" x14ac:dyDescent="0.2">
      <c r="C7" s="226"/>
      <c r="D7" s="226"/>
      <c r="E7" s="226"/>
      <c r="F7" s="226"/>
      <c r="G7" s="226"/>
      <c r="H7" s="226"/>
      <c r="I7" s="226"/>
      <c r="J7" s="226"/>
      <c r="K7" s="226"/>
      <c r="L7" s="226"/>
    </row>
    <row r="8" spans="2:17" ht="24" customHeight="1" x14ac:dyDescent="0.2">
      <c r="C8" s="31"/>
      <c r="D8" s="31"/>
      <c r="E8" s="31"/>
      <c r="F8" s="31"/>
      <c r="G8" s="31"/>
      <c r="H8" s="31"/>
      <c r="I8" s="31"/>
      <c r="J8" s="31"/>
      <c r="K8" s="31"/>
      <c r="L8" s="31"/>
      <c r="M8" s="31"/>
      <c r="N8" s="31"/>
      <c r="O8" s="1"/>
      <c r="P8" s="1"/>
      <c r="Q8" s="1"/>
    </row>
    <row r="9" spans="2:17" ht="24" customHeight="1" x14ac:dyDescent="0.2">
      <c r="C9" s="31"/>
      <c r="D9" s="31"/>
      <c r="E9" s="31"/>
      <c r="F9" s="31"/>
      <c r="G9" s="31"/>
      <c r="H9" s="31"/>
      <c r="I9" s="31"/>
      <c r="J9" s="31"/>
      <c r="K9" s="31"/>
      <c r="L9" s="31"/>
      <c r="M9" s="31"/>
      <c r="N9" s="31"/>
      <c r="O9" s="1"/>
      <c r="P9" s="1"/>
      <c r="Q9" s="1"/>
    </row>
    <row r="10" spans="2:17" ht="106.25" customHeight="1" x14ac:dyDescent="0.3">
      <c r="C10" s="227" t="s">
        <v>324</v>
      </c>
      <c r="D10" s="227"/>
      <c r="E10" s="227"/>
      <c r="F10" s="227"/>
      <c r="G10" s="227"/>
      <c r="H10" s="227"/>
      <c r="I10" s="227"/>
      <c r="J10" s="227"/>
      <c r="K10" s="227"/>
      <c r="L10" s="227"/>
      <c r="M10" s="227"/>
      <c r="N10" s="91"/>
      <c r="O10" s="3"/>
      <c r="P10" s="3"/>
      <c r="Q10" s="3"/>
    </row>
    <row r="11" spans="2:17" ht="24" customHeight="1" x14ac:dyDescent="0.2">
      <c r="C11" s="222" t="s">
        <v>480</v>
      </c>
      <c r="D11" s="222"/>
      <c r="E11" s="222"/>
      <c r="F11" s="222"/>
      <c r="G11" s="222"/>
      <c r="H11" s="222"/>
      <c r="I11" s="222"/>
      <c r="J11" s="222"/>
      <c r="K11" s="222"/>
      <c r="L11" s="222"/>
      <c r="M11" s="222"/>
      <c r="N11" s="31"/>
      <c r="O11" s="1"/>
      <c r="P11" s="1"/>
      <c r="Q11" s="1"/>
    </row>
    <row r="12" spans="2:17" ht="24" customHeight="1" x14ac:dyDescent="0.2">
      <c r="C12" s="222" t="s">
        <v>395</v>
      </c>
      <c r="D12" s="222"/>
      <c r="E12" s="222"/>
      <c r="F12" s="222"/>
      <c r="G12" s="222"/>
      <c r="H12" s="222"/>
      <c r="I12" s="222"/>
      <c r="J12" s="222"/>
      <c r="K12" s="222"/>
      <c r="L12" s="222"/>
      <c r="M12" s="222"/>
      <c r="N12" s="31"/>
      <c r="O12" s="1"/>
      <c r="P12" s="1"/>
      <c r="Q12" s="1"/>
    </row>
    <row r="13" spans="2:17" ht="24" customHeight="1" x14ac:dyDescent="0.2">
      <c r="C13" s="222" t="s">
        <v>325</v>
      </c>
      <c r="D13" s="222"/>
      <c r="E13" s="222"/>
      <c r="F13" s="222"/>
      <c r="G13" s="222"/>
      <c r="H13" s="222"/>
      <c r="I13" s="222"/>
      <c r="J13" s="222"/>
      <c r="K13" s="222"/>
      <c r="L13" s="222"/>
      <c r="M13" s="222"/>
      <c r="N13" s="31"/>
      <c r="O13" s="1"/>
      <c r="P13" s="1"/>
      <c r="Q13" s="1"/>
    </row>
    <row r="14" spans="2:17" ht="23" customHeight="1" x14ac:dyDescent="0.2">
      <c r="C14" s="222" t="s">
        <v>456</v>
      </c>
      <c r="D14" s="222"/>
      <c r="E14" s="222"/>
      <c r="F14" s="222"/>
      <c r="G14" s="222"/>
      <c r="H14" s="222"/>
      <c r="I14" s="222"/>
      <c r="J14" s="222"/>
      <c r="K14" s="222"/>
      <c r="L14" s="222"/>
      <c r="M14" s="222"/>
      <c r="N14" s="31"/>
      <c r="O14" s="1"/>
      <c r="P14" s="1"/>
      <c r="Q14" s="1"/>
    </row>
    <row r="15" spans="2:17" s="68" customFormat="1" ht="24" customHeight="1" x14ac:dyDescent="0.35">
      <c r="B15" s="69"/>
      <c r="C15" s="70"/>
      <c r="D15" s="71"/>
      <c r="E15" s="71"/>
      <c r="F15" s="71"/>
      <c r="G15" s="71"/>
      <c r="H15" s="71"/>
      <c r="I15" s="71"/>
      <c r="J15" s="71"/>
      <c r="K15" s="71"/>
      <c r="L15" s="71"/>
      <c r="M15" s="70"/>
      <c r="N15" s="70"/>
      <c r="O15" s="72"/>
      <c r="P15" s="72"/>
      <c r="Q15" s="72"/>
    </row>
    <row r="16" spans="2:17" s="68" customFormat="1" ht="24" customHeight="1" x14ac:dyDescent="0.35">
      <c r="B16" s="69"/>
      <c r="C16" s="70"/>
      <c r="D16" s="70"/>
      <c r="E16" s="70"/>
      <c r="F16" s="70"/>
      <c r="G16" s="70"/>
      <c r="H16" s="70"/>
      <c r="I16" s="70"/>
      <c r="J16" s="70"/>
      <c r="K16" s="70"/>
      <c r="L16" s="70"/>
      <c r="M16" s="70"/>
      <c r="N16" s="70"/>
      <c r="O16" s="72"/>
      <c r="P16" s="72"/>
      <c r="Q16" s="72"/>
    </row>
    <row r="17" spans="2:17" s="68" customFormat="1" ht="38" customHeight="1" x14ac:dyDescent="0.35">
      <c r="B17" s="70" t="s">
        <v>326</v>
      </c>
      <c r="C17" s="72"/>
      <c r="D17" s="73"/>
      <c r="E17" s="73"/>
      <c r="F17" s="70"/>
      <c r="G17" s="70"/>
      <c r="H17" s="70"/>
      <c r="I17" s="70"/>
      <c r="J17" s="70"/>
      <c r="K17" s="70" t="s">
        <v>335</v>
      </c>
      <c r="L17" s="174"/>
      <c r="M17" s="173"/>
      <c r="N17" s="173"/>
      <c r="O17" s="72"/>
      <c r="P17" s="72"/>
      <c r="Q17" s="72"/>
    </row>
    <row r="18" spans="2:17" s="68" customFormat="1" ht="25.25" customHeight="1" x14ac:dyDescent="0.35">
      <c r="B18" s="69"/>
      <c r="C18" s="70"/>
      <c r="D18" s="70"/>
      <c r="E18" s="70"/>
      <c r="F18" s="70"/>
      <c r="G18" s="70"/>
      <c r="H18" s="70"/>
      <c r="I18" s="70"/>
      <c r="J18" s="70"/>
      <c r="K18" s="70"/>
      <c r="L18" s="70"/>
      <c r="M18" s="70"/>
      <c r="N18" s="70"/>
      <c r="O18" s="72"/>
      <c r="P18" s="72"/>
      <c r="Q18" s="72"/>
    </row>
    <row r="19" spans="2:17" s="68" customFormat="1" ht="24" customHeight="1" x14ac:dyDescent="0.35">
      <c r="B19" s="69"/>
      <c r="C19" s="70"/>
      <c r="D19" s="70"/>
      <c r="E19" s="70"/>
      <c r="F19" s="70"/>
      <c r="G19" s="70"/>
      <c r="H19" s="70"/>
      <c r="I19" s="70"/>
      <c r="J19" s="70"/>
      <c r="K19" s="70"/>
      <c r="L19" s="70"/>
      <c r="M19" s="70"/>
      <c r="N19" s="70"/>
      <c r="O19" s="72"/>
      <c r="P19" s="72"/>
      <c r="Q19" s="72"/>
    </row>
    <row r="20" spans="2:17" s="68" customFormat="1" ht="23" customHeight="1" x14ac:dyDescent="0.35">
      <c r="B20" s="223" t="s">
        <v>327</v>
      </c>
      <c r="C20" s="223"/>
      <c r="D20" s="223"/>
      <c r="E20" s="223"/>
      <c r="F20" s="223"/>
      <c r="G20" s="223"/>
      <c r="H20" s="223"/>
      <c r="I20" s="223"/>
      <c r="J20" s="223"/>
      <c r="K20" s="223"/>
      <c r="L20" s="223"/>
      <c r="M20" s="223"/>
      <c r="N20" s="223"/>
      <c r="O20" s="72"/>
      <c r="P20" s="72"/>
      <c r="Q20" s="72"/>
    </row>
    <row r="21" spans="2:17" s="68" customFormat="1" ht="68" customHeight="1" x14ac:dyDescent="0.35">
      <c r="B21" s="223"/>
      <c r="C21" s="223"/>
      <c r="D21" s="223"/>
      <c r="E21" s="223"/>
      <c r="F21" s="223"/>
      <c r="G21" s="223"/>
      <c r="H21" s="223"/>
      <c r="I21" s="223"/>
      <c r="J21" s="223"/>
      <c r="K21" s="223"/>
      <c r="L21" s="223"/>
      <c r="M21" s="223"/>
      <c r="N21" s="223"/>
      <c r="O21" s="72"/>
      <c r="P21" s="72"/>
      <c r="Q21" s="72"/>
    </row>
    <row r="22" spans="2:17" s="68" customFormat="1" ht="24" customHeight="1" x14ac:dyDescent="0.35">
      <c r="B22" s="69"/>
      <c r="C22" s="73"/>
      <c r="D22" s="73"/>
      <c r="E22" s="73"/>
      <c r="F22" s="73"/>
      <c r="G22" s="73"/>
      <c r="H22" s="73"/>
      <c r="I22" s="73"/>
      <c r="J22" s="73"/>
      <c r="K22" s="73"/>
      <c r="L22" s="73"/>
      <c r="M22" s="73"/>
      <c r="N22" s="74"/>
    </row>
    <row r="23" spans="2:17" s="68" customFormat="1" ht="24" customHeight="1" x14ac:dyDescent="0.35">
      <c r="B23" s="224" t="s">
        <v>459</v>
      </c>
      <c r="C23" s="224"/>
      <c r="D23" s="224"/>
      <c r="E23" s="224"/>
      <c r="F23" s="224"/>
      <c r="G23" s="224"/>
      <c r="H23" s="224"/>
      <c r="I23" s="224"/>
      <c r="J23" s="224"/>
      <c r="K23" s="224"/>
      <c r="L23" s="224"/>
      <c r="M23" s="224"/>
      <c r="N23" s="224"/>
    </row>
    <row r="24" spans="2:17" s="68" customFormat="1" ht="75" customHeight="1" x14ac:dyDescent="0.35">
      <c r="B24" s="224"/>
      <c r="C24" s="224"/>
      <c r="D24" s="224"/>
      <c r="E24" s="224"/>
      <c r="F24" s="224"/>
      <c r="G24" s="224"/>
      <c r="H24" s="224"/>
      <c r="I24" s="224"/>
      <c r="J24" s="224"/>
      <c r="K24" s="224"/>
      <c r="L24" s="224"/>
      <c r="M24" s="224"/>
      <c r="N24" s="224"/>
    </row>
    <row r="25" spans="2:17" s="68" customFormat="1" ht="24" customHeight="1" x14ac:dyDescent="0.35">
      <c r="B25" s="69"/>
      <c r="C25" s="70"/>
      <c r="D25" s="70"/>
      <c r="E25" s="70"/>
      <c r="F25" s="70"/>
      <c r="G25" s="70"/>
      <c r="H25" s="70"/>
      <c r="I25" s="70"/>
      <c r="J25" s="70"/>
      <c r="K25" s="70"/>
      <c r="L25" s="70"/>
      <c r="M25" s="74"/>
      <c r="N25" s="74"/>
    </row>
    <row r="26" spans="2:17" s="68" customFormat="1" ht="38" customHeight="1" x14ac:dyDescent="0.35">
      <c r="B26" s="225" t="s">
        <v>329</v>
      </c>
      <c r="C26" s="225"/>
      <c r="D26" s="225"/>
      <c r="E26" s="225"/>
      <c r="F26" s="228"/>
      <c r="G26" s="228"/>
      <c r="H26" s="228"/>
      <c r="I26" s="228"/>
      <c r="J26" s="228"/>
      <c r="K26" s="228"/>
      <c r="L26" s="70"/>
      <c r="M26" s="74"/>
      <c r="N26" s="74"/>
    </row>
    <row r="27" spans="2:17" s="68" customFormat="1" ht="23" customHeight="1" x14ac:dyDescent="0.35">
      <c r="B27" s="229"/>
      <c r="C27" s="230"/>
      <c r="D27" s="230"/>
      <c r="E27" s="230"/>
      <c r="F27" s="230"/>
      <c r="G27" s="230"/>
      <c r="H27" s="230"/>
      <c r="I27" s="230"/>
      <c r="J27" s="230"/>
      <c r="K27" s="230"/>
      <c r="L27" s="230"/>
      <c r="M27" s="230"/>
      <c r="N27" s="231"/>
    </row>
    <row r="28" spans="2:17" s="68" customFormat="1" ht="91.25" customHeight="1" x14ac:dyDescent="0.35">
      <c r="B28" s="232"/>
      <c r="C28" s="233"/>
      <c r="D28" s="233"/>
      <c r="E28" s="233"/>
      <c r="F28" s="233"/>
      <c r="G28" s="233"/>
      <c r="H28" s="233"/>
      <c r="I28" s="233"/>
      <c r="J28" s="233"/>
      <c r="K28" s="233"/>
      <c r="L28" s="233"/>
      <c r="M28" s="233"/>
      <c r="N28" s="234"/>
    </row>
    <row r="29" spans="2:17" s="68" customFormat="1" ht="24" customHeight="1" x14ac:dyDescent="0.35">
      <c r="B29" s="92"/>
      <c r="C29" s="92"/>
      <c r="D29" s="92"/>
      <c r="E29" s="92"/>
      <c r="F29" s="92"/>
      <c r="G29" s="92"/>
      <c r="H29" s="92"/>
      <c r="I29" s="92"/>
      <c r="J29" s="92"/>
      <c r="K29" s="92"/>
      <c r="L29" s="92"/>
      <c r="M29" s="92"/>
      <c r="N29" s="92"/>
    </row>
    <row r="30" spans="2:17" s="68" customFormat="1" ht="24" customHeight="1" x14ac:dyDescent="0.35">
      <c r="B30" s="235" t="s">
        <v>385</v>
      </c>
      <c r="C30" s="235"/>
      <c r="D30" s="235"/>
      <c r="E30" s="235"/>
      <c r="F30" s="235" t="s">
        <v>386</v>
      </c>
      <c r="G30" s="235"/>
      <c r="H30" s="235"/>
      <c r="I30" s="235"/>
      <c r="J30" s="235"/>
      <c r="K30" s="93"/>
      <c r="L30" s="235" t="s">
        <v>387</v>
      </c>
      <c r="M30" s="235"/>
      <c r="N30" s="235"/>
    </row>
    <row r="31" spans="2:17" s="68" customFormat="1" ht="24" customHeight="1" x14ac:dyDescent="0.35">
      <c r="B31" s="92"/>
      <c r="C31" s="212" t="s">
        <v>388</v>
      </c>
      <c r="D31" s="212"/>
      <c r="E31" s="94"/>
      <c r="F31" s="212"/>
      <c r="G31" s="212"/>
      <c r="H31" s="212"/>
      <c r="I31" s="212"/>
      <c r="J31" s="212"/>
      <c r="K31" s="212"/>
      <c r="L31" s="212"/>
      <c r="M31" s="212"/>
      <c r="N31" s="212"/>
    </row>
    <row r="32" spans="2:17" s="68" customFormat="1" ht="24" customHeight="1" x14ac:dyDescent="0.35">
      <c r="B32" s="92"/>
      <c r="C32" s="212" t="s">
        <v>389</v>
      </c>
      <c r="D32" s="212"/>
      <c r="E32" s="94"/>
      <c r="F32" s="212"/>
      <c r="G32" s="212"/>
      <c r="H32" s="212"/>
      <c r="I32" s="212"/>
      <c r="J32" s="212"/>
      <c r="K32" s="212"/>
      <c r="L32" s="212"/>
      <c r="M32" s="212"/>
      <c r="N32" s="212"/>
    </row>
    <row r="33" spans="2:20" s="68" customFormat="1" ht="24" customHeight="1" x14ac:dyDescent="0.35">
      <c r="B33" s="92"/>
      <c r="C33" s="212" t="s">
        <v>391</v>
      </c>
      <c r="D33" s="212"/>
      <c r="E33" s="94"/>
      <c r="F33" s="212"/>
      <c r="G33" s="212"/>
      <c r="H33" s="212"/>
      <c r="I33" s="212"/>
      <c r="J33" s="212"/>
      <c r="K33" s="212"/>
      <c r="L33" s="212"/>
      <c r="M33" s="212"/>
      <c r="N33" s="212"/>
    </row>
    <row r="34" spans="2:20" s="68" customFormat="1" ht="24" customHeight="1" x14ac:dyDescent="0.35">
      <c r="B34" s="92"/>
      <c r="C34" s="212" t="s">
        <v>390</v>
      </c>
      <c r="D34" s="212"/>
      <c r="E34" s="94"/>
      <c r="F34" s="212"/>
      <c r="G34" s="212"/>
      <c r="H34" s="212"/>
      <c r="I34" s="212"/>
      <c r="J34" s="212"/>
      <c r="K34" s="212"/>
      <c r="L34" s="212"/>
      <c r="M34" s="212"/>
      <c r="N34" s="212"/>
    </row>
    <row r="35" spans="2:20" s="68" customFormat="1" ht="24" customHeight="1" x14ac:dyDescent="0.35">
      <c r="B35" s="92"/>
      <c r="C35" s="212" t="s">
        <v>453</v>
      </c>
      <c r="D35" s="212"/>
      <c r="E35" s="94"/>
      <c r="F35" s="212"/>
      <c r="G35" s="212"/>
      <c r="H35" s="212"/>
      <c r="I35" s="212"/>
      <c r="J35" s="212"/>
      <c r="K35" s="212"/>
      <c r="L35" s="212"/>
      <c r="M35" s="212"/>
      <c r="N35" s="212"/>
    </row>
    <row r="36" spans="2:20" s="68" customFormat="1" ht="24" customHeight="1" x14ac:dyDescent="0.35">
      <c r="B36" s="92"/>
      <c r="C36" s="212" t="s">
        <v>454</v>
      </c>
      <c r="D36" s="212"/>
      <c r="E36" s="94"/>
      <c r="F36" s="212"/>
      <c r="G36" s="212"/>
      <c r="H36" s="212"/>
      <c r="I36" s="212"/>
      <c r="J36" s="212"/>
      <c r="K36" s="212"/>
      <c r="L36" s="212"/>
      <c r="M36" s="212"/>
      <c r="N36" s="212"/>
    </row>
    <row r="37" spans="2:20" s="68" customFormat="1" ht="24" customHeight="1" x14ac:dyDescent="0.35">
      <c r="B37" s="92"/>
      <c r="C37" s="212" t="s">
        <v>455</v>
      </c>
      <c r="D37" s="212"/>
      <c r="E37" s="94"/>
      <c r="F37" s="212"/>
      <c r="G37" s="212"/>
      <c r="H37" s="212"/>
      <c r="I37" s="212"/>
      <c r="J37" s="212"/>
      <c r="K37" s="212"/>
      <c r="L37" s="212"/>
      <c r="M37" s="212"/>
      <c r="N37" s="212"/>
    </row>
    <row r="38" spans="2:20" s="68" customFormat="1" ht="24" customHeight="1" x14ac:dyDescent="0.35">
      <c r="B38" s="92"/>
      <c r="C38" s="92"/>
      <c r="D38" s="92"/>
      <c r="E38" s="92"/>
      <c r="F38" s="92"/>
      <c r="G38" s="92"/>
      <c r="H38" s="92"/>
      <c r="I38" s="92"/>
      <c r="J38" s="92"/>
      <c r="K38" s="92"/>
      <c r="L38" s="92"/>
      <c r="M38" s="92"/>
      <c r="N38" s="92"/>
    </row>
    <row r="39" spans="2:20" s="68" customFormat="1" ht="40.25" customHeight="1" x14ac:dyDescent="0.35">
      <c r="B39" s="238" t="s">
        <v>328</v>
      </c>
      <c r="C39" s="238"/>
      <c r="D39" s="238"/>
      <c r="E39" s="238"/>
      <c r="F39" s="238"/>
      <c r="G39" s="238"/>
      <c r="H39" s="238"/>
      <c r="I39" s="238"/>
      <c r="J39" s="238"/>
      <c r="K39" s="238"/>
      <c r="L39" s="238"/>
      <c r="M39" s="74"/>
      <c r="N39" s="74"/>
    </row>
    <row r="40" spans="2:20" ht="24" customHeight="1" thickBot="1" x14ac:dyDescent="0.25">
      <c r="C40" s="30"/>
    </row>
    <row r="41" spans="2:20" s="35" customFormat="1" ht="35.25" customHeight="1" thickBot="1" x14ac:dyDescent="0.4">
      <c r="B41" s="243" t="s">
        <v>357</v>
      </c>
      <c r="C41" s="243"/>
      <c r="D41" s="243"/>
      <c r="E41" s="243"/>
      <c r="F41" s="243"/>
      <c r="G41" s="243"/>
      <c r="H41" s="243"/>
      <c r="I41" s="243"/>
      <c r="J41" s="243"/>
      <c r="K41" s="55"/>
      <c r="L41" s="244" t="e">
        <f>M90</f>
        <v>#N/A</v>
      </c>
      <c r="M41" s="245"/>
      <c r="N41" s="246"/>
    </row>
    <row r="42" spans="2:20" s="35" customFormat="1" ht="24" customHeight="1" x14ac:dyDescent="0.3">
      <c r="B42" s="33"/>
      <c r="C42" s="49"/>
      <c r="D42" s="49"/>
      <c r="E42" s="49"/>
      <c r="F42" s="49"/>
      <c r="G42" s="49"/>
      <c r="H42" s="50"/>
      <c r="I42" s="50"/>
      <c r="J42" s="48"/>
      <c r="K42" s="50"/>
      <c r="L42" s="48"/>
      <c r="M42" s="48"/>
      <c r="N42" s="34"/>
    </row>
    <row r="43" spans="2:20" s="35" customFormat="1" ht="27.5" customHeight="1" thickBot="1" x14ac:dyDescent="0.3">
      <c r="B43" s="33"/>
      <c r="C43" s="28"/>
      <c r="D43" s="28"/>
      <c r="E43" s="28"/>
      <c r="F43" s="28"/>
      <c r="G43" s="28"/>
      <c r="H43" s="33"/>
      <c r="I43" s="33"/>
      <c r="J43" s="34"/>
      <c r="K43" s="33"/>
      <c r="L43" s="34"/>
      <c r="M43" s="34"/>
      <c r="N43" s="34"/>
    </row>
    <row r="44" spans="2:20" s="119" customFormat="1" ht="86" customHeight="1" x14ac:dyDescent="0.4">
      <c r="C44" s="162"/>
      <c r="D44" s="121" t="s">
        <v>0</v>
      </c>
      <c r="E44" s="249" t="s">
        <v>1</v>
      </c>
      <c r="F44" s="249"/>
      <c r="G44" s="122"/>
      <c r="H44" s="122" t="s">
        <v>31</v>
      </c>
      <c r="I44" s="122" t="s">
        <v>396</v>
      </c>
      <c r="J44" s="122" t="s">
        <v>7</v>
      </c>
      <c r="K44" s="123" t="s">
        <v>4</v>
      </c>
      <c r="L44" s="122" t="s">
        <v>5</v>
      </c>
      <c r="M44" s="123" t="s">
        <v>6</v>
      </c>
      <c r="N44" s="124"/>
      <c r="O44" s="120"/>
      <c r="Q44" s="247"/>
      <c r="R44" s="247"/>
      <c r="S44" s="247"/>
      <c r="T44" s="247"/>
    </row>
    <row r="45" spans="2:20" s="53" customFormat="1" ht="26.75" customHeight="1" x14ac:dyDescent="0.3">
      <c r="C45" s="125"/>
      <c r="D45" s="109"/>
      <c r="E45" s="215" t="e">
        <f>VLOOKUP($D45,Table1[#All],2,FALSE)</f>
        <v>#N/A</v>
      </c>
      <c r="F45" s="215"/>
      <c r="G45" s="215"/>
      <c r="H45" s="110" t="e">
        <f>VLOOKUP($D45,Table1[#All],3,FALSE)</f>
        <v>#N/A</v>
      </c>
      <c r="I45" s="110"/>
      <c r="J45" s="111"/>
      <c r="K45" s="112" t="e">
        <f>VLOOKUP($D45,Table1[#All],4,FALSE)</f>
        <v>#N/A</v>
      </c>
      <c r="L45" s="113"/>
      <c r="M45" s="114" t="e">
        <f t="shared" ref="M45:M74" si="0">+K45*L45</f>
        <v>#N/A</v>
      </c>
      <c r="N45" s="127"/>
      <c r="O45" s="52"/>
    </row>
    <row r="46" spans="2:20" s="53" customFormat="1" ht="26.75" customHeight="1" x14ac:dyDescent="0.3">
      <c r="C46" s="125"/>
      <c r="D46" s="109"/>
      <c r="E46" s="215" t="e">
        <f>VLOOKUP($D46,Table1[#All],2,FALSE)</f>
        <v>#N/A</v>
      </c>
      <c r="F46" s="215"/>
      <c r="G46" s="215"/>
      <c r="H46" s="110" t="e">
        <f>VLOOKUP($D46,Table1[#All],3,FALSE)</f>
        <v>#N/A</v>
      </c>
      <c r="I46" s="110"/>
      <c r="J46" s="111"/>
      <c r="K46" s="112" t="e">
        <f>VLOOKUP($D46,Table1[#All],4,FALSE)</f>
        <v>#N/A</v>
      </c>
      <c r="L46" s="113"/>
      <c r="M46" s="114" t="e">
        <f t="shared" si="0"/>
        <v>#N/A</v>
      </c>
      <c r="N46" s="127"/>
      <c r="O46" s="52"/>
    </row>
    <row r="47" spans="2:20" s="53" customFormat="1" ht="26.75" customHeight="1" x14ac:dyDescent="0.3">
      <c r="C47" s="125"/>
      <c r="D47" s="109"/>
      <c r="E47" s="215" t="e">
        <f>VLOOKUP($D47,Table1[#All],2,FALSE)</f>
        <v>#N/A</v>
      </c>
      <c r="F47" s="215"/>
      <c r="G47" s="215"/>
      <c r="H47" s="110" t="e">
        <f>VLOOKUP($D47,Table1[#All],3,FALSE)</f>
        <v>#N/A</v>
      </c>
      <c r="I47" s="110"/>
      <c r="J47" s="111"/>
      <c r="K47" s="112" t="e">
        <f>VLOOKUP($D47,Table1[#All],4,FALSE)</f>
        <v>#N/A</v>
      </c>
      <c r="L47" s="113"/>
      <c r="M47" s="114" t="e">
        <f t="shared" si="0"/>
        <v>#N/A</v>
      </c>
      <c r="N47" s="127"/>
      <c r="O47" s="52"/>
    </row>
    <row r="48" spans="2:20" s="53" customFormat="1" ht="26.75" customHeight="1" x14ac:dyDescent="0.3">
      <c r="C48" s="125"/>
      <c r="D48" s="109"/>
      <c r="E48" s="215" t="e">
        <f>VLOOKUP($D48,Table1[#All],2,FALSE)</f>
        <v>#N/A</v>
      </c>
      <c r="F48" s="215"/>
      <c r="G48" s="215"/>
      <c r="H48" s="110" t="e">
        <f>VLOOKUP($D48,Table1[#All],3,FALSE)</f>
        <v>#N/A</v>
      </c>
      <c r="I48" s="110"/>
      <c r="J48" s="111"/>
      <c r="K48" s="112" t="e">
        <f>VLOOKUP($D48,Table1[#All],4,FALSE)</f>
        <v>#N/A</v>
      </c>
      <c r="L48" s="113"/>
      <c r="M48" s="114" t="e">
        <f t="shared" si="0"/>
        <v>#N/A</v>
      </c>
      <c r="N48" s="127"/>
      <c r="O48" s="52"/>
    </row>
    <row r="49" spans="3:15" s="53" customFormat="1" ht="26.75" customHeight="1" x14ac:dyDescent="0.3">
      <c r="C49" s="125"/>
      <c r="D49" s="109"/>
      <c r="E49" s="215" t="e">
        <f>VLOOKUP($D49,Table1[#All],2,FALSE)</f>
        <v>#N/A</v>
      </c>
      <c r="F49" s="215"/>
      <c r="G49" s="215"/>
      <c r="H49" s="110" t="e">
        <f>VLOOKUP($D49,Table1[#All],3,FALSE)</f>
        <v>#N/A</v>
      </c>
      <c r="I49" s="110"/>
      <c r="J49" s="111"/>
      <c r="K49" s="112" t="e">
        <f>VLOOKUP($D49,Table1[#All],4,FALSE)</f>
        <v>#N/A</v>
      </c>
      <c r="L49" s="113"/>
      <c r="M49" s="114" t="e">
        <f t="shared" si="0"/>
        <v>#N/A</v>
      </c>
      <c r="N49" s="127"/>
      <c r="O49" s="52"/>
    </row>
    <row r="50" spans="3:15" s="53" customFormat="1" ht="26.75" customHeight="1" x14ac:dyDescent="0.3">
      <c r="C50" s="125"/>
      <c r="D50" s="109"/>
      <c r="E50" s="215" t="e">
        <f>VLOOKUP($D50,Table1[#All],2,FALSE)</f>
        <v>#N/A</v>
      </c>
      <c r="F50" s="215"/>
      <c r="G50" s="215"/>
      <c r="H50" s="110" t="e">
        <f>VLOOKUP($D50,Table1[#All],3,FALSE)</f>
        <v>#N/A</v>
      </c>
      <c r="I50" s="110"/>
      <c r="J50" s="111"/>
      <c r="K50" s="112" t="e">
        <f>VLOOKUP($D50,Table1[#All],4,FALSE)</f>
        <v>#N/A</v>
      </c>
      <c r="L50" s="113"/>
      <c r="M50" s="114" t="e">
        <f t="shared" si="0"/>
        <v>#N/A</v>
      </c>
      <c r="N50" s="127"/>
      <c r="O50" s="52"/>
    </row>
    <row r="51" spans="3:15" s="53" customFormat="1" ht="26.75" customHeight="1" x14ac:dyDescent="0.3">
      <c r="C51" s="125"/>
      <c r="D51" s="109"/>
      <c r="E51" s="215" t="e">
        <f>VLOOKUP($D51,Table1[#All],2,FALSE)</f>
        <v>#N/A</v>
      </c>
      <c r="F51" s="215"/>
      <c r="G51" s="215"/>
      <c r="H51" s="110" t="e">
        <f>VLOOKUP($D51,Table1[#All],3,FALSE)</f>
        <v>#N/A</v>
      </c>
      <c r="I51" s="110"/>
      <c r="J51" s="111"/>
      <c r="K51" s="112" t="e">
        <f>VLOOKUP($D51,Table1[#All],4,FALSE)</f>
        <v>#N/A</v>
      </c>
      <c r="L51" s="113"/>
      <c r="M51" s="114" t="e">
        <f t="shared" si="0"/>
        <v>#N/A</v>
      </c>
      <c r="N51" s="127"/>
      <c r="O51" s="52"/>
    </row>
    <row r="52" spans="3:15" s="53" customFormat="1" ht="26.75" customHeight="1" x14ac:dyDescent="0.3">
      <c r="C52" s="125"/>
      <c r="D52" s="109"/>
      <c r="E52" s="215" t="e">
        <f>VLOOKUP($D52,Table1[#All],2,FALSE)</f>
        <v>#N/A</v>
      </c>
      <c r="F52" s="215"/>
      <c r="G52" s="215"/>
      <c r="H52" s="110" t="e">
        <f>VLOOKUP($D52,Table1[#All],3,FALSE)</f>
        <v>#N/A</v>
      </c>
      <c r="I52" s="110"/>
      <c r="J52" s="111"/>
      <c r="K52" s="112" t="e">
        <f>VLOOKUP($D52,Table1[#All],4,FALSE)</f>
        <v>#N/A</v>
      </c>
      <c r="L52" s="113"/>
      <c r="M52" s="114" t="e">
        <f t="shared" si="0"/>
        <v>#N/A</v>
      </c>
      <c r="N52" s="127"/>
      <c r="O52" s="52"/>
    </row>
    <row r="53" spans="3:15" s="53" customFormat="1" ht="26.75" customHeight="1" x14ac:dyDescent="0.3">
      <c r="C53" s="125"/>
      <c r="D53" s="109"/>
      <c r="E53" s="215" t="e">
        <f>VLOOKUP($D53,Table1[#All],2,FALSE)</f>
        <v>#N/A</v>
      </c>
      <c r="F53" s="215"/>
      <c r="G53" s="215"/>
      <c r="H53" s="110" t="e">
        <f>VLOOKUP($D53,Table1[#All],3,FALSE)</f>
        <v>#N/A</v>
      </c>
      <c r="I53" s="110"/>
      <c r="J53" s="111"/>
      <c r="K53" s="112" t="e">
        <f>VLOOKUP($D53,Table1[#All],4,FALSE)</f>
        <v>#N/A</v>
      </c>
      <c r="L53" s="113"/>
      <c r="M53" s="114" t="e">
        <f t="shared" si="0"/>
        <v>#N/A</v>
      </c>
      <c r="N53" s="127"/>
      <c r="O53" s="52"/>
    </row>
    <row r="54" spans="3:15" s="53" customFormat="1" ht="26.75" customHeight="1" x14ac:dyDescent="0.3">
      <c r="C54" s="125"/>
      <c r="D54" s="109"/>
      <c r="E54" s="215" t="e">
        <f>VLOOKUP($D54,Table1[#All],2,FALSE)</f>
        <v>#N/A</v>
      </c>
      <c r="F54" s="215"/>
      <c r="G54" s="215"/>
      <c r="H54" s="110" t="e">
        <f>VLOOKUP($D54,Table1[#All],3,FALSE)</f>
        <v>#N/A</v>
      </c>
      <c r="I54" s="110"/>
      <c r="J54" s="111"/>
      <c r="K54" s="112" t="e">
        <f>VLOOKUP($D54,Table1[#All],4,FALSE)</f>
        <v>#N/A</v>
      </c>
      <c r="L54" s="113"/>
      <c r="M54" s="114" t="e">
        <f t="shared" si="0"/>
        <v>#N/A</v>
      </c>
      <c r="N54" s="127"/>
      <c r="O54" s="52"/>
    </row>
    <row r="55" spans="3:15" s="53" customFormat="1" ht="26.75" customHeight="1" x14ac:dyDescent="0.3">
      <c r="C55" s="125"/>
      <c r="D55" s="109"/>
      <c r="E55" s="215" t="e">
        <f>VLOOKUP($D55,Table1[#All],2,FALSE)</f>
        <v>#N/A</v>
      </c>
      <c r="F55" s="215"/>
      <c r="G55" s="215"/>
      <c r="H55" s="110" t="e">
        <f>VLOOKUP($D55,Table1[#All],3,FALSE)</f>
        <v>#N/A</v>
      </c>
      <c r="I55" s="110"/>
      <c r="J55" s="111"/>
      <c r="K55" s="112" t="e">
        <f>VLOOKUP($D55,Table1[#All],4,FALSE)</f>
        <v>#N/A</v>
      </c>
      <c r="L55" s="113"/>
      <c r="M55" s="114" t="e">
        <f t="shared" si="0"/>
        <v>#N/A</v>
      </c>
      <c r="N55" s="127"/>
      <c r="O55" s="52"/>
    </row>
    <row r="56" spans="3:15" s="53" customFormat="1" ht="26.75" customHeight="1" x14ac:dyDescent="0.3">
      <c r="C56" s="125"/>
      <c r="D56" s="109"/>
      <c r="E56" s="215" t="e">
        <f>VLOOKUP($D56,Table1[#All],2,FALSE)</f>
        <v>#N/A</v>
      </c>
      <c r="F56" s="215"/>
      <c r="G56" s="215"/>
      <c r="H56" s="110" t="e">
        <f>VLOOKUP($D56,Table1[#All],3,FALSE)</f>
        <v>#N/A</v>
      </c>
      <c r="I56" s="110"/>
      <c r="J56" s="111"/>
      <c r="K56" s="112" t="e">
        <f>VLOOKUP($D56,Table1[#All],4,FALSE)</f>
        <v>#N/A</v>
      </c>
      <c r="L56" s="113"/>
      <c r="M56" s="114" t="e">
        <f t="shared" si="0"/>
        <v>#N/A</v>
      </c>
      <c r="N56" s="127"/>
      <c r="O56" s="52"/>
    </row>
    <row r="57" spans="3:15" s="53" customFormat="1" ht="26.75" customHeight="1" x14ac:dyDescent="0.3">
      <c r="C57" s="125"/>
      <c r="D57" s="109"/>
      <c r="E57" s="215" t="e">
        <f>VLOOKUP($D57,Table1[#All],2,FALSE)</f>
        <v>#N/A</v>
      </c>
      <c r="F57" s="215"/>
      <c r="G57" s="215"/>
      <c r="H57" s="110" t="e">
        <f>VLOOKUP($D57,Table1[#All],3,FALSE)</f>
        <v>#N/A</v>
      </c>
      <c r="I57" s="110"/>
      <c r="J57" s="111"/>
      <c r="K57" s="112" t="e">
        <f>VLOOKUP($D57,Table1[#All],4,FALSE)</f>
        <v>#N/A</v>
      </c>
      <c r="L57" s="113"/>
      <c r="M57" s="114" t="e">
        <f t="shared" si="0"/>
        <v>#N/A</v>
      </c>
      <c r="N57" s="127"/>
      <c r="O57" s="52"/>
    </row>
    <row r="58" spans="3:15" s="53" customFormat="1" ht="26.75" customHeight="1" x14ac:dyDescent="0.3">
      <c r="C58" s="125"/>
      <c r="D58" s="109"/>
      <c r="E58" s="215" t="e">
        <f>VLOOKUP($D58,Table1[#All],2,FALSE)</f>
        <v>#N/A</v>
      </c>
      <c r="F58" s="215"/>
      <c r="G58" s="215"/>
      <c r="H58" s="110" t="e">
        <f>VLOOKUP($D58,Table1[#All],3,FALSE)</f>
        <v>#N/A</v>
      </c>
      <c r="I58" s="110"/>
      <c r="J58" s="111"/>
      <c r="K58" s="112" t="e">
        <f>VLOOKUP($D58,Table1[#All],4,FALSE)</f>
        <v>#N/A</v>
      </c>
      <c r="L58" s="113"/>
      <c r="M58" s="114" t="e">
        <f t="shared" si="0"/>
        <v>#N/A</v>
      </c>
      <c r="N58" s="127"/>
      <c r="O58" s="52"/>
    </row>
    <row r="59" spans="3:15" s="53" customFormat="1" ht="26.75" customHeight="1" x14ac:dyDescent="0.3">
      <c r="C59" s="125"/>
      <c r="D59" s="109"/>
      <c r="E59" s="215" t="e">
        <f>VLOOKUP($D59,Table1[#All],2,FALSE)</f>
        <v>#N/A</v>
      </c>
      <c r="F59" s="215"/>
      <c r="G59" s="215"/>
      <c r="H59" s="110" t="e">
        <f>VLOOKUP($D59,Table1[#All],3,FALSE)</f>
        <v>#N/A</v>
      </c>
      <c r="I59" s="110"/>
      <c r="J59" s="111"/>
      <c r="K59" s="112" t="e">
        <f>VLOOKUP($D59,Table1[#All],4,FALSE)</f>
        <v>#N/A</v>
      </c>
      <c r="L59" s="113"/>
      <c r="M59" s="114" t="e">
        <f t="shared" si="0"/>
        <v>#N/A</v>
      </c>
      <c r="N59" s="127"/>
      <c r="O59" s="52"/>
    </row>
    <row r="60" spans="3:15" s="53" customFormat="1" ht="26.75" customHeight="1" x14ac:dyDescent="0.3">
      <c r="C60" s="125"/>
      <c r="D60" s="109"/>
      <c r="E60" s="215" t="e">
        <f>VLOOKUP($D60,Table1[#All],2,FALSE)</f>
        <v>#N/A</v>
      </c>
      <c r="F60" s="215"/>
      <c r="G60" s="215"/>
      <c r="H60" s="110" t="e">
        <f>VLOOKUP($D60,Table1[#All],3,FALSE)</f>
        <v>#N/A</v>
      </c>
      <c r="I60" s="110"/>
      <c r="J60" s="111"/>
      <c r="K60" s="112" t="e">
        <f>VLOOKUP($D60,Table1[#All],4,FALSE)</f>
        <v>#N/A</v>
      </c>
      <c r="L60" s="113"/>
      <c r="M60" s="114" t="e">
        <f t="shared" si="0"/>
        <v>#N/A</v>
      </c>
      <c r="N60" s="127"/>
      <c r="O60" s="52"/>
    </row>
    <row r="61" spans="3:15" s="53" customFormat="1" ht="26.75" customHeight="1" x14ac:dyDescent="0.3">
      <c r="C61" s="125"/>
      <c r="D61" s="109"/>
      <c r="E61" s="215" t="e">
        <f>VLOOKUP($D61,Table1[#All],2,FALSE)</f>
        <v>#N/A</v>
      </c>
      <c r="F61" s="215"/>
      <c r="G61" s="215"/>
      <c r="H61" s="110" t="e">
        <f>VLOOKUP($D61,Table1[#All],3,FALSE)</f>
        <v>#N/A</v>
      </c>
      <c r="I61" s="110"/>
      <c r="J61" s="111"/>
      <c r="K61" s="112" t="e">
        <f>VLOOKUP($D61,Table1[#All],4,FALSE)</f>
        <v>#N/A</v>
      </c>
      <c r="L61" s="113"/>
      <c r="M61" s="114" t="e">
        <f t="shared" si="0"/>
        <v>#N/A</v>
      </c>
      <c r="N61" s="127"/>
      <c r="O61" s="52"/>
    </row>
    <row r="62" spans="3:15" s="53" customFormat="1" ht="26.75" customHeight="1" x14ac:dyDescent="0.3">
      <c r="C62" s="125"/>
      <c r="D62" s="109"/>
      <c r="E62" s="215" t="e">
        <f>VLOOKUP($D62,Table1[#All],2,FALSE)</f>
        <v>#N/A</v>
      </c>
      <c r="F62" s="215"/>
      <c r="G62" s="215"/>
      <c r="H62" s="110" t="e">
        <f>VLOOKUP($D62,Table1[#All],3,FALSE)</f>
        <v>#N/A</v>
      </c>
      <c r="I62" s="110"/>
      <c r="J62" s="111"/>
      <c r="K62" s="112" t="e">
        <f>VLOOKUP($D62,Table1[#All],4,FALSE)</f>
        <v>#N/A</v>
      </c>
      <c r="L62" s="113"/>
      <c r="M62" s="114" t="e">
        <f t="shared" si="0"/>
        <v>#N/A</v>
      </c>
      <c r="N62" s="127"/>
      <c r="O62" s="52"/>
    </row>
    <row r="63" spans="3:15" s="53" customFormat="1" ht="26.75" customHeight="1" x14ac:dyDescent="0.3">
      <c r="C63" s="125"/>
      <c r="D63" s="109"/>
      <c r="E63" s="215" t="e">
        <f>VLOOKUP($D63,Table1[#All],2,FALSE)</f>
        <v>#N/A</v>
      </c>
      <c r="F63" s="215"/>
      <c r="G63" s="215"/>
      <c r="H63" s="110" t="e">
        <f>VLOOKUP($D63,Table1[#All],3,FALSE)</f>
        <v>#N/A</v>
      </c>
      <c r="I63" s="110"/>
      <c r="J63" s="111"/>
      <c r="K63" s="112" t="e">
        <f>VLOOKUP($D63,Table1[#All],4,FALSE)</f>
        <v>#N/A</v>
      </c>
      <c r="L63" s="113"/>
      <c r="M63" s="114" t="e">
        <f t="shared" si="0"/>
        <v>#N/A</v>
      </c>
      <c r="N63" s="127"/>
      <c r="O63" s="52"/>
    </row>
    <row r="64" spans="3:15" s="53" customFormat="1" ht="26.75" customHeight="1" x14ac:dyDescent="0.3">
      <c r="C64" s="125"/>
      <c r="D64" s="109"/>
      <c r="E64" s="215" t="e">
        <f>VLOOKUP($D64,Table1[#All],2,FALSE)</f>
        <v>#N/A</v>
      </c>
      <c r="F64" s="215"/>
      <c r="G64" s="215"/>
      <c r="H64" s="110" t="e">
        <f>VLOOKUP($D64,Table1[#All],3,FALSE)</f>
        <v>#N/A</v>
      </c>
      <c r="I64" s="110"/>
      <c r="J64" s="111"/>
      <c r="K64" s="112" t="e">
        <f>VLOOKUP($D64,Table1[#All],4,FALSE)</f>
        <v>#N/A</v>
      </c>
      <c r="L64" s="113"/>
      <c r="M64" s="114" t="e">
        <f t="shared" si="0"/>
        <v>#N/A</v>
      </c>
      <c r="N64" s="127"/>
      <c r="O64" s="52"/>
    </row>
    <row r="65" spans="3:15" s="53" customFormat="1" ht="26.75" customHeight="1" x14ac:dyDescent="0.3">
      <c r="C65" s="125"/>
      <c r="D65" s="109"/>
      <c r="E65" s="215" t="e">
        <f>VLOOKUP($D65,Table1[#All],2,FALSE)</f>
        <v>#N/A</v>
      </c>
      <c r="F65" s="215"/>
      <c r="G65" s="215"/>
      <c r="H65" s="110" t="e">
        <f>VLOOKUP($D65,Table1[#All],3,FALSE)</f>
        <v>#N/A</v>
      </c>
      <c r="I65" s="110"/>
      <c r="J65" s="111"/>
      <c r="K65" s="112" t="e">
        <f>VLOOKUP($D65,Table1[#All],4,FALSE)</f>
        <v>#N/A</v>
      </c>
      <c r="L65" s="113"/>
      <c r="M65" s="114" t="e">
        <f t="shared" si="0"/>
        <v>#N/A</v>
      </c>
      <c r="N65" s="127"/>
      <c r="O65" s="52"/>
    </row>
    <row r="66" spans="3:15" s="53" customFormat="1" ht="26.75" customHeight="1" x14ac:dyDescent="0.3">
      <c r="C66" s="125"/>
      <c r="D66" s="109"/>
      <c r="E66" s="215" t="e">
        <f>VLOOKUP($D66,Table1[#All],2,FALSE)</f>
        <v>#N/A</v>
      </c>
      <c r="F66" s="215"/>
      <c r="G66" s="215"/>
      <c r="H66" s="110" t="e">
        <f>VLOOKUP($D66,Table1[#All],3,FALSE)</f>
        <v>#N/A</v>
      </c>
      <c r="I66" s="110"/>
      <c r="J66" s="111"/>
      <c r="K66" s="112" t="e">
        <f>VLOOKUP($D66,Table1[#All],4,FALSE)</f>
        <v>#N/A</v>
      </c>
      <c r="L66" s="113"/>
      <c r="M66" s="114" t="e">
        <f t="shared" si="0"/>
        <v>#N/A</v>
      </c>
      <c r="N66" s="127"/>
      <c r="O66" s="52"/>
    </row>
    <row r="67" spans="3:15" s="53" customFormat="1" ht="26.75" customHeight="1" x14ac:dyDescent="0.3">
      <c r="C67" s="125"/>
      <c r="D67" s="109"/>
      <c r="E67" s="215" t="e">
        <f>VLOOKUP($D67,Table1[#All],2,FALSE)</f>
        <v>#N/A</v>
      </c>
      <c r="F67" s="215"/>
      <c r="G67" s="215"/>
      <c r="H67" s="110" t="e">
        <f>VLOOKUP($D67,Table1[#All],3,FALSE)</f>
        <v>#N/A</v>
      </c>
      <c r="I67" s="110"/>
      <c r="J67" s="111"/>
      <c r="K67" s="112" t="e">
        <f>VLOOKUP($D67,Table1[#All],4,FALSE)</f>
        <v>#N/A</v>
      </c>
      <c r="L67" s="113"/>
      <c r="M67" s="114" t="e">
        <f t="shared" si="0"/>
        <v>#N/A</v>
      </c>
      <c r="N67" s="127"/>
      <c r="O67" s="52"/>
    </row>
    <row r="68" spans="3:15" s="53" customFormat="1" ht="26.75" customHeight="1" x14ac:dyDescent="0.3">
      <c r="C68" s="125"/>
      <c r="D68" s="109"/>
      <c r="E68" s="215" t="e">
        <f>VLOOKUP($D68,Table1[#All],2,FALSE)</f>
        <v>#N/A</v>
      </c>
      <c r="F68" s="215"/>
      <c r="G68" s="215"/>
      <c r="H68" s="110" t="e">
        <f>VLOOKUP($D68,Table1[#All],3,FALSE)</f>
        <v>#N/A</v>
      </c>
      <c r="I68" s="110"/>
      <c r="J68" s="111"/>
      <c r="K68" s="112" t="e">
        <f>VLOOKUP($D68,Table1[#All],4,FALSE)</f>
        <v>#N/A</v>
      </c>
      <c r="L68" s="113"/>
      <c r="M68" s="114" t="e">
        <f t="shared" si="0"/>
        <v>#N/A</v>
      </c>
      <c r="N68" s="127"/>
      <c r="O68" s="52"/>
    </row>
    <row r="69" spans="3:15" s="53" customFormat="1" ht="26.75" customHeight="1" x14ac:dyDescent="0.3">
      <c r="C69" s="125"/>
      <c r="D69" s="109"/>
      <c r="E69" s="215" t="e">
        <f>VLOOKUP($D69,Table1[#All],2,FALSE)</f>
        <v>#N/A</v>
      </c>
      <c r="F69" s="215"/>
      <c r="G69" s="215"/>
      <c r="H69" s="110" t="e">
        <f>VLOOKUP($D69,Table1[#All],3,FALSE)</f>
        <v>#N/A</v>
      </c>
      <c r="I69" s="110"/>
      <c r="J69" s="111"/>
      <c r="K69" s="112" t="e">
        <f>VLOOKUP($D69,Table1[#All],4,FALSE)</f>
        <v>#N/A</v>
      </c>
      <c r="L69" s="113"/>
      <c r="M69" s="114" t="e">
        <f t="shared" si="0"/>
        <v>#N/A</v>
      </c>
      <c r="N69" s="127"/>
      <c r="O69" s="52"/>
    </row>
    <row r="70" spans="3:15" s="53" customFormat="1" ht="26.75" customHeight="1" x14ac:dyDescent="0.3">
      <c r="C70" s="125"/>
      <c r="D70" s="109"/>
      <c r="E70" s="215" t="e">
        <f>VLOOKUP($D70,Table1[#All],2,FALSE)</f>
        <v>#N/A</v>
      </c>
      <c r="F70" s="215"/>
      <c r="G70" s="215"/>
      <c r="H70" s="110" t="e">
        <f>VLOOKUP($D70,Table1[#All],3,FALSE)</f>
        <v>#N/A</v>
      </c>
      <c r="I70" s="110"/>
      <c r="J70" s="111"/>
      <c r="K70" s="112" t="e">
        <f>VLOOKUP($D70,Table1[#All],4,FALSE)</f>
        <v>#N/A</v>
      </c>
      <c r="L70" s="113"/>
      <c r="M70" s="114" t="e">
        <f t="shared" si="0"/>
        <v>#N/A</v>
      </c>
      <c r="N70" s="126"/>
      <c r="O70" s="52"/>
    </row>
    <row r="71" spans="3:15" s="53" customFormat="1" ht="26.75" customHeight="1" x14ac:dyDescent="0.3">
      <c r="C71" s="125"/>
      <c r="D71" s="109"/>
      <c r="E71" s="215" t="e">
        <f>VLOOKUP($D71,Table1[#All],2,FALSE)</f>
        <v>#N/A</v>
      </c>
      <c r="F71" s="215"/>
      <c r="G71" s="215"/>
      <c r="H71" s="110" t="e">
        <f>VLOOKUP($D71,Table1[#All],3,FALSE)</f>
        <v>#N/A</v>
      </c>
      <c r="I71" s="110"/>
      <c r="J71" s="111"/>
      <c r="K71" s="112" t="e">
        <f>VLOOKUP($D71,Table1[#All],4,FALSE)</f>
        <v>#N/A</v>
      </c>
      <c r="L71" s="113"/>
      <c r="M71" s="114" t="e">
        <f t="shared" si="0"/>
        <v>#N/A</v>
      </c>
      <c r="N71" s="126"/>
      <c r="O71" s="52"/>
    </row>
    <row r="72" spans="3:15" s="53" customFormat="1" ht="26.75" customHeight="1" x14ac:dyDescent="0.3">
      <c r="C72" s="125"/>
      <c r="D72" s="109"/>
      <c r="E72" s="215" t="e">
        <f>VLOOKUP($D72,Table1[#All],2,FALSE)</f>
        <v>#N/A</v>
      </c>
      <c r="F72" s="215"/>
      <c r="G72" s="215"/>
      <c r="H72" s="110" t="e">
        <f>VLOOKUP($D72,Table1[#All],3,FALSE)</f>
        <v>#N/A</v>
      </c>
      <c r="I72" s="110"/>
      <c r="J72" s="111"/>
      <c r="K72" s="112" t="e">
        <f>VLOOKUP($D72,Table1[#All],4,FALSE)</f>
        <v>#N/A</v>
      </c>
      <c r="L72" s="113"/>
      <c r="M72" s="114" t="e">
        <f t="shared" si="0"/>
        <v>#N/A</v>
      </c>
      <c r="N72" s="126"/>
      <c r="O72" s="52"/>
    </row>
    <row r="73" spans="3:15" s="53" customFormat="1" ht="26.75" customHeight="1" x14ac:dyDescent="0.3">
      <c r="C73" s="125"/>
      <c r="D73" s="109"/>
      <c r="E73" s="215" t="e">
        <f>VLOOKUP($D73,Table1[#All],2,FALSE)</f>
        <v>#N/A</v>
      </c>
      <c r="F73" s="215"/>
      <c r="G73" s="215"/>
      <c r="H73" s="110" t="e">
        <f>VLOOKUP($D73,Table1[#All],3,FALSE)</f>
        <v>#N/A</v>
      </c>
      <c r="I73" s="110"/>
      <c r="J73" s="111"/>
      <c r="K73" s="112" t="e">
        <f>VLOOKUP($D73,Table1[#All],4,FALSE)</f>
        <v>#N/A</v>
      </c>
      <c r="L73" s="113"/>
      <c r="M73" s="114" t="e">
        <f>+K73*L73</f>
        <v>#N/A</v>
      </c>
      <c r="N73" s="126"/>
      <c r="O73" s="52"/>
    </row>
    <row r="74" spans="3:15" s="53" customFormat="1" ht="26.75" customHeight="1" x14ac:dyDescent="0.3">
      <c r="C74" s="125"/>
      <c r="D74" s="109"/>
      <c r="E74" s="215" t="e">
        <f>VLOOKUP($D74,Table1[#All],2,FALSE)</f>
        <v>#N/A</v>
      </c>
      <c r="F74" s="215"/>
      <c r="G74" s="215"/>
      <c r="H74" s="110" t="e">
        <f>VLOOKUP($D74,Table1[#All],3,FALSE)</f>
        <v>#N/A</v>
      </c>
      <c r="I74" s="110"/>
      <c r="J74" s="111"/>
      <c r="K74" s="112" t="e">
        <f>VLOOKUP($D74,Table1[#All],4,FALSE)</f>
        <v>#N/A</v>
      </c>
      <c r="L74" s="113"/>
      <c r="M74" s="114" t="e">
        <f t="shared" si="0"/>
        <v>#N/A</v>
      </c>
      <c r="N74" s="126"/>
      <c r="O74" s="52"/>
    </row>
    <row r="75" spans="3:15" s="53" customFormat="1" ht="26.75" customHeight="1" x14ac:dyDescent="0.3">
      <c r="C75" s="125"/>
      <c r="D75" s="109"/>
      <c r="E75" s="215" t="e">
        <f>VLOOKUP($D75,Table1[#All],2,FALSE)</f>
        <v>#N/A</v>
      </c>
      <c r="F75" s="215"/>
      <c r="G75" s="215"/>
      <c r="H75" s="110" t="e">
        <f>VLOOKUP($D75,Table1[#All],3,FALSE)</f>
        <v>#N/A</v>
      </c>
      <c r="I75" s="110"/>
      <c r="J75" s="111"/>
      <c r="K75" s="112" t="e">
        <f>VLOOKUP($D75,Table1[#All],4,FALSE)</f>
        <v>#N/A</v>
      </c>
      <c r="L75" s="113"/>
      <c r="M75" s="114" t="e">
        <f t="shared" ref="M75:M77" si="1">+K75*L75</f>
        <v>#N/A</v>
      </c>
      <c r="N75" s="126"/>
      <c r="O75" s="52"/>
    </row>
    <row r="76" spans="3:15" s="53" customFormat="1" ht="26.75" customHeight="1" x14ac:dyDescent="0.3">
      <c r="C76" s="125"/>
      <c r="D76" s="109"/>
      <c r="E76" s="215" t="e">
        <f>VLOOKUP($D76,Table1[#All],2,FALSE)</f>
        <v>#N/A</v>
      </c>
      <c r="F76" s="215"/>
      <c r="G76" s="215"/>
      <c r="H76" s="110" t="e">
        <f>VLOOKUP($D76,Table1[#All],3,FALSE)</f>
        <v>#N/A</v>
      </c>
      <c r="I76" s="110"/>
      <c r="J76" s="111"/>
      <c r="K76" s="112" t="e">
        <f>VLOOKUP($D76,Table1[#All],4,FALSE)</f>
        <v>#N/A</v>
      </c>
      <c r="L76" s="113"/>
      <c r="M76" s="114" t="e">
        <f t="shared" si="1"/>
        <v>#N/A</v>
      </c>
      <c r="N76" s="126"/>
      <c r="O76" s="52"/>
    </row>
    <row r="77" spans="3:15" s="53" customFormat="1" ht="26.75" customHeight="1" x14ac:dyDescent="0.3">
      <c r="C77" s="125"/>
      <c r="D77" s="109"/>
      <c r="E77" s="215" t="e">
        <f>VLOOKUP($D77,Table1[#All],2,FALSE)</f>
        <v>#N/A</v>
      </c>
      <c r="F77" s="215"/>
      <c r="G77" s="215"/>
      <c r="H77" s="110" t="e">
        <f>VLOOKUP($D77,Table1[#All],3,FALSE)</f>
        <v>#N/A</v>
      </c>
      <c r="I77" s="110"/>
      <c r="J77" s="111"/>
      <c r="K77" s="112" t="e">
        <f>VLOOKUP($D77,Table1[#All],4,FALSE)</f>
        <v>#N/A</v>
      </c>
      <c r="L77" s="113"/>
      <c r="M77" s="114" t="e">
        <f t="shared" si="1"/>
        <v>#N/A</v>
      </c>
      <c r="N77" s="126"/>
      <c r="O77" s="52"/>
    </row>
    <row r="78" spans="3:15" s="53" customFormat="1" ht="26.75" customHeight="1" x14ac:dyDescent="0.3">
      <c r="C78" s="155"/>
      <c r="D78" s="154"/>
      <c r="E78" s="172" t="s">
        <v>492</v>
      </c>
      <c r="F78" s="172"/>
      <c r="G78" s="172"/>
      <c r="H78" s="156"/>
      <c r="I78" s="156"/>
      <c r="J78" s="157"/>
      <c r="K78" s="158"/>
      <c r="L78" s="159"/>
      <c r="M78" s="160" t="e">
        <f>SUM(M31:M77)-(SUM(M31:M77)*0.95)</f>
        <v>#N/A</v>
      </c>
      <c r="N78" s="161"/>
      <c r="O78" s="52"/>
    </row>
    <row r="79" spans="3:15" s="53" customFormat="1" ht="26.75" customHeight="1" x14ac:dyDescent="0.3">
      <c r="C79" s="155"/>
      <c r="D79" s="154"/>
      <c r="E79" s="172" t="s">
        <v>493</v>
      </c>
      <c r="F79" s="172"/>
      <c r="G79" s="172"/>
      <c r="H79" s="156"/>
      <c r="I79" s="156"/>
      <c r="J79" s="157"/>
      <c r="K79" s="158"/>
      <c r="L79" s="159"/>
      <c r="M79" s="160" t="e">
        <f>SUM(M31:M77)-(SUM(M31:M77)*0.9)</f>
        <v>#N/A</v>
      </c>
      <c r="N79" s="161"/>
      <c r="O79" s="52"/>
    </row>
    <row r="80" spans="3:15" s="53" customFormat="1" ht="26.75" customHeight="1" thickBot="1" x14ac:dyDescent="0.35">
      <c r="C80" s="146"/>
      <c r="D80" s="147"/>
      <c r="E80" s="248" t="s">
        <v>494</v>
      </c>
      <c r="F80" s="248"/>
      <c r="G80" s="248"/>
      <c r="H80" s="148"/>
      <c r="I80" s="148"/>
      <c r="J80" s="149"/>
      <c r="K80" s="150"/>
      <c r="L80" s="151"/>
      <c r="M80" s="160" t="e">
        <f>SUM(M31:M77)-(SUM(M31:M77)*0.85)</f>
        <v>#N/A</v>
      </c>
      <c r="N80" s="152"/>
      <c r="O80" s="52"/>
    </row>
    <row r="81" spans="2:15" s="142" customFormat="1" ht="35" customHeight="1" thickBot="1" x14ac:dyDescent="0.3">
      <c r="C81" s="242" t="s">
        <v>496</v>
      </c>
      <c r="D81" s="242"/>
      <c r="E81" s="242"/>
      <c r="F81" s="242"/>
      <c r="G81" s="241" t="s">
        <v>460</v>
      </c>
      <c r="H81" s="241"/>
      <c r="I81" s="241"/>
      <c r="J81" s="241"/>
      <c r="K81" s="241"/>
      <c r="L81" s="241"/>
      <c r="M81" s="171" t="e">
        <f>SUM(M45:M80)</f>
        <v>#N/A</v>
      </c>
      <c r="N81" s="143"/>
      <c r="O81" s="144"/>
    </row>
    <row r="82" spans="2:15" s="142" customFormat="1" ht="35" customHeight="1" x14ac:dyDescent="0.25">
      <c r="C82" s="221" t="s">
        <v>495</v>
      </c>
      <c r="D82" s="221"/>
      <c r="E82" s="221"/>
      <c r="F82" s="221"/>
      <c r="G82" s="221"/>
      <c r="H82" s="221"/>
      <c r="I82" s="221"/>
      <c r="J82" s="221"/>
      <c r="K82" s="221"/>
      <c r="L82" s="221"/>
      <c r="M82" s="221"/>
      <c r="N82" s="143"/>
      <c r="O82" s="144"/>
    </row>
    <row r="83" spans="2:15" s="53" customFormat="1" ht="31.25" customHeight="1" thickBot="1" x14ac:dyDescent="0.35">
      <c r="C83" s="239" t="s">
        <v>467</v>
      </c>
      <c r="D83" s="240"/>
      <c r="E83" s="240"/>
      <c r="F83" s="240"/>
      <c r="G83" s="240"/>
      <c r="H83" s="240"/>
      <c r="I83" s="240"/>
      <c r="J83" s="111"/>
      <c r="K83" s="112"/>
      <c r="L83" s="113"/>
      <c r="M83" s="114"/>
      <c r="N83" s="115"/>
      <c r="O83" s="52"/>
    </row>
    <row r="84" spans="2:15" s="53" customFormat="1" ht="26.75" customHeight="1" x14ac:dyDescent="0.3">
      <c r="C84" s="130"/>
      <c r="D84" s="131"/>
      <c r="E84" s="237" t="e">
        <f>VLOOKUP($D84,Table1[#All],2,FALSE)</f>
        <v>#N/A</v>
      </c>
      <c r="F84" s="237"/>
      <c r="G84" s="237"/>
      <c r="H84" s="132" t="e">
        <f>VLOOKUP($D84,Table1[#All],3,FALSE)</f>
        <v>#N/A</v>
      </c>
      <c r="I84" s="132"/>
      <c r="J84" s="133"/>
      <c r="K84" s="134" t="e">
        <f>VLOOKUP($D84,Table1[#All],4,FALSE)</f>
        <v>#N/A</v>
      </c>
      <c r="L84" s="135">
        <v>1</v>
      </c>
      <c r="M84" s="136" t="e">
        <f t="shared" ref="M84:M88" si="2">+K84*L84</f>
        <v>#N/A</v>
      </c>
      <c r="N84" s="137"/>
      <c r="O84" s="52"/>
    </row>
    <row r="85" spans="2:15" s="53" customFormat="1" ht="26.75" customHeight="1" x14ac:dyDescent="0.3">
      <c r="C85" s="125"/>
      <c r="D85" s="109"/>
      <c r="E85" s="215" t="e">
        <f>VLOOKUP($D85,Table1[#All],2,FALSE)</f>
        <v>#N/A</v>
      </c>
      <c r="F85" s="215"/>
      <c r="G85" s="215"/>
      <c r="H85" s="110" t="e">
        <f>VLOOKUP($D85,Table1[#All],3,FALSE)</f>
        <v>#N/A</v>
      </c>
      <c r="I85" s="110"/>
      <c r="J85" s="111"/>
      <c r="K85" s="112" t="e">
        <f>VLOOKUP($D85,Table1[#All],4,FALSE)</f>
        <v>#N/A</v>
      </c>
      <c r="L85" s="113"/>
      <c r="M85" s="114" t="e">
        <f t="shared" si="2"/>
        <v>#N/A</v>
      </c>
      <c r="N85" s="126"/>
      <c r="O85" s="52"/>
    </row>
    <row r="86" spans="2:15" s="53" customFormat="1" ht="26.75" customHeight="1" x14ac:dyDescent="0.3">
      <c r="C86" s="125"/>
      <c r="D86" s="109"/>
      <c r="E86" s="215" t="e">
        <f>VLOOKUP($D86,Table1[#All],2,FALSE)</f>
        <v>#N/A</v>
      </c>
      <c r="F86" s="215"/>
      <c r="G86" s="215"/>
      <c r="H86" s="110" t="e">
        <f>VLOOKUP($D86,Table1[#All],3,FALSE)</f>
        <v>#N/A</v>
      </c>
      <c r="I86" s="110"/>
      <c r="J86" s="111"/>
      <c r="K86" s="112" t="e">
        <f>VLOOKUP($D86,Table1[#All],4,FALSE)</f>
        <v>#N/A</v>
      </c>
      <c r="L86" s="113"/>
      <c r="M86" s="114" t="e">
        <f t="shared" si="2"/>
        <v>#N/A</v>
      </c>
      <c r="N86" s="126"/>
      <c r="O86" s="52"/>
    </row>
    <row r="87" spans="2:15" s="53" customFormat="1" ht="26.75" customHeight="1" x14ac:dyDescent="0.3">
      <c r="C87" s="125"/>
      <c r="D87" s="109"/>
      <c r="E87" s="215" t="e">
        <f>VLOOKUP($D87,Table1[#All],2,FALSE)</f>
        <v>#N/A</v>
      </c>
      <c r="F87" s="215"/>
      <c r="G87" s="215"/>
      <c r="H87" s="110" t="e">
        <f>VLOOKUP($D87,Table1[#All],3,FALSE)</f>
        <v>#N/A</v>
      </c>
      <c r="I87" s="110"/>
      <c r="J87" s="111"/>
      <c r="K87" s="112" t="e">
        <f>VLOOKUP($D87,Table1[#All],4,FALSE)</f>
        <v>#N/A</v>
      </c>
      <c r="L87" s="113"/>
      <c r="M87" s="114" t="e">
        <f t="shared" si="2"/>
        <v>#N/A</v>
      </c>
      <c r="N87" s="126"/>
      <c r="O87" s="52"/>
    </row>
    <row r="88" spans="2:15" s="53" customFormat="1" ht="26.75" customHeight="1" x14ac:dyDescent="0.3">
      <c r="C88" s="125"/>
      <c r="D88" s="109"/>
      <c r="E88" s="215" t="e">
        <f>VLOOKUP($D88,Table1[#All],2,FALSE)</f>
        <v>#N/A</v>
      </c>
      <c r="F88" s="215"/>
      <c r="G88" s="215"/>
      <c r="H88" s="110" t="e">
        <f>VLOOKUP($D88,Table1[#All],3,FALSE)</f>
        <v>#N/A</v>
      </c>
      <c r="I88" s="110"/>
      <c r="J88" s="111"/>
      <c r="K88" s="112" t="e">
        <f>VLOOKUP($D88,Table1[#All],4,FALSE)</f>
        <v>#N/A</v>
      </c>
      <c r="L88" s="113"/>
      <c r="M88" s="114" t="e">
        <f t="shared" si="2"/>
        <v>#N/A</v>
      </c>
      <c r="N88" s="126"/>
      <c r="O88" s="52"/>
    </row>
    <row r="89" spans="2:15" s="53" customFormat="1" ht="26.75" customHeight="1" thickBot="1" x14ac:dyDescent="0.35">
      <c r="C89" s="128"/>
      <c r="D89" s="138"/>
      <c r="E89" s="139" t="s">
        <v>468</v>
      </c>
      <c r="F89" s="139"/>
      <c r="G89" s="139"/>
      <c r="H89" s="139"/>
      <c r="I89" s="139"/>
      <c r="J89" s="139"/>
      <c r="K89" s="140"/>
      <c r="L89" s="129"/>
      <c r="M89" s="140" t="e">
        <f>SUM(M84:M88)</f>
        <v>#N/A</v>
      </c>
      <c r="N89" s="141"/>
      <c r="O89" s="52"/>
    </row>
    <row r="90" spans="2:15" s="68" customFormat="1" ht="26.75" customHeight="1" thickBot="1" x14ac:dyDescent="0.4">
      <c r="C90" s="69"/>
      <c r="D90" s="116"/>
      <c r="E90" s="117"/>
      <c r="F90" s="117"/>
      <c r="G90" s="236" t="s">
        <v>358</v>
      </c>
      <c r="H90" s="236"/>
      <c r="I90" s="236"/>
      <c r="J90" s="236"/>
      <c r="K90" s="236"/>
      <c r="L90" s="236"/>
      <c r="M90" s="118" t="e">
        <f>SUM(M84:M88)+M81</f>
        <v>#N/A</v>
      </c>
      <c r="N90" s="69"/>
      <c r="O90" s="69"/>
    </row>
    <row r="91" spans="2:15" s="53" customFormat="1" ht="24" customHeight="1" x14ac:dyDescent="0.3">
      <c r="B91" s="52"/>
      <c r="C91" s="56"/>
      <c r="D91" s="52"/>
      <c r="E91" s="52"/>
      <c r="F91" s="52"/>
      <c r="G91" s="52"/>
      <c r="H91" s="52"/>
      <c r="I91" s="52"/>
      <c r="J91" s="54"/>
      <c r="K91" s="52"/>
      <c r="L91" s="54"/>
      <c r="M91" s="54"/>
      <c r="N91" s="54"/>
    </row>
    <row r="92" spans="2:15" s="53" customFormat="1" ht="24" customHeight="1" x14ac:dyDescent="0.3">
      <c r="B92" s="52"/>
      <c r="C92" s="56"/>
      <c r="D92" s="52"/>
      <c r="E92" s="52"/>
      <c r="F92" s="52"/>
      <c r="G92" s="52"/>
      <c r="H92" s="52"/>
      <c r="I92" s="52"/>
      <c r="J92" s="54"/>
      <c r="K92" s="52"/>
      <c r="L92" s="54"/>
      <c r="M92" s="54"/>
      <c r="N92" s="54"/>
    </row>
    <row r="93" spans="2:15" s="75" customFormat="1" ht="24" customHeight="1" x14ac:dyDescent="0.3">
      <c r="B93" s="76"/>
      <c r="C93" s="77"/>
      <c r="D93" s="216" t="s">
        <v>470</v>
      </c>
      <c r="E93" s="216"/>
      <c r="F93" s="216"/>
      <c r="G93" s="216" t="s">
        <v>469</v>
      </c>
      <c r="H93" s="216"/>
      <c r="I93" s="216"/>
      <c r="J93" s="216"/>
      <c r="K93" s="216"/>
      <c r="L93" s="216"/>
      <c r="M93" s="78"/>
      <c r="N93" s="78"/>
    </row>
    <row r="94" spans="2:15" s="75" customFormat="1" ht="24" customHeight="1" x14ac:dyDescent="0.3">
      <c r="B94" s="76"/>
      <c r="C94" s="77"/>
      <c r="D94" s="76"/>
      <c r="E94" s="76"/>
      <c r="F94" s="76"/>
      <c r="G94" s="76"/>
      <c r="H94" s="76"/>
      <c r="I94" s="76"/>
      <c r="J94" s="78"/>
      <c r="K94" s="76"/>
      <c r="L94" s="78"/>
      <c r="M94" s="78"/>
      <c r="N94" s="78"/>
    </row>
    <row r="95" spans="2:15" s="75" customFormat="1" ht="24" customHeight="1" x14ac:dyDescent="0.3">
      <c r="B95" s="76"/>
      <c r="C95" s="77"/>
      <c r="D95" s="76"/>
      <c r="E95" s="76"/>
      <c r="F95" s="76"/>
      <c r="G95" s="76"/>
      <c r="H95" s="76"/>
      <c r="I95" s="76"/>
      <c r="J95" s="78"/>
      <c r="K95" s="76"/>
      <c r="L95" s="78"/>
      <c r="M95" s="78"/>
      <c r="N95" s="78"/>
    </row>
    <row r="96" spans="2:15" s="75" customFormat="1" ht="24" customHeight="1" x14ac:dyDescent="0.3">
      <c r="B96" s="76"/>
      <c r="C96" s="77"/>
      <c r="D96" s="76"/>
      <c r="E96" s="76"/>
      <c r="F96" s="76"/>
      <c r="G96" s="76"/>
      <c r="H96" s="76"/>
      <c r="I96" s="76"/>
      <c r="J96" s="78"/>
      <c r="K96" s="76"/>
      <c r="L96" s="78"/>
      <c r="M96" s="78"/>
      <c r="N96" s="78"/>
    </row>
    <row r="97" spans="2:14" s="75" customFormat="1" ht="24" customHeight="1" x14ac:dyDescent="0.3">
      <c r="B97" s="76"/>
      <c r="C97" s="77"/>
      <c r="D97" s="76"/>
      <c r="E97" s="76"/>
      <c r="F97" s="76"/>
      <c r="G97" s="76"/>
      <c r="H97" s="76"/>
      <c r="I97" s="76"/>
      <c r="J97" s="78"/>
      <c r="K97" s="76"/>
      <c r="L97" s="78"/>
      <c r="M97" s="78"/>
      <c r="N97" s="78"/>
    </row>
    <row r="98" spans="2:14" s="75" customFormat="1" ht="24" customHeight="1" x14ac:dyDescent="0.3">
      <c r="B98" s="76"/>
      <c r="C98" s="77"/>
      <c r="D98" s="76"/>
      <c r="E98" s="76"/>
      <c r="F98" s="76"/>
      <c r="G98" s="76"/>
      <c r="H98" s="76"/>
      <c r="I98" s="76"/>
      <c r="J98" s="78"/>
      <c r="K98" s="76"/>
      <c r="L98" s="78"/>
      <c r="M98" s="78"/>
      <c r="N98" s="78"/>
    </row>
    <row r="99" spans="2:14" s="75" customFormat="1" ht="24" customHeight="1" x14ac:dyDescent="0.3">
      <c r="B99" s="76"/>
      <c r="C99" s="77"/>
      <c r="D99" s="76"/>
      <c r="E99" s="76"/>
      <c r="F99" s="76"/>
      <c r="G99" s="76"/>
      <c r="H99" s="76"/>
      <c r="I99" s="76"/>
      <c r="J99" s="78"/>
      <c r="K99" s="76"/>
      <c r="L99" s="78"/>
      <c r="M99" s="78"/>
      <c r="N99" s="78"/>
    </row>
    <row r="100" spans="2:14" s="75" customFormat="1" ht="24" customHeight="1" x14ac:dyDescent="0.3">
      <c r="B100" s="76"/>
      <c r="C100" s="77"/>
      <c r="D100" s="76"/>
      <c r="E100" s="76"/>
      <c r="F100" s="76"/>
      <c r="G100" s="76"/>
      <c r="H100" s="76"/>
      <c r="I100" s="76"/>
      <c r="J100" s="78"/>
      <c r="K100" s="76"/>
      <c r="L100" s="78"/>
      <c r="M100" s="78"/>
      <c r="N100" s="78"/>
    </row>
    <row r="101" spans="2:14" s="75" customFormat="1" ht="24" customHeight="1" x14ac:dyDescent="0.3">
      <c r="B101" s="76"/>
      <c r="C101" s="77"/>
      <c r="D101" s="76"/>
      <c r="E101" s="76"/>
      <c r="F101" s="76"/>
      <c r="G101" s="76"/>
      <c r="H101" s="76"/>
      <c r="I101" s="76"/>
      <c r="J101" s="78"/>
      <c r="K101" s="76"/>
      <c r="L101" s="78"/>
      <c r="M101" s="78"/>
      <c r="N101" s="78"/>
    </row>
    <row r="102" spans="2:14" s="75" customFormat="1" ht="24" customHeight="1" x14ac:dyDescent="0.3">
      <c r="B102" s="76"/>
      <c r="C102" s="77"/>
      <c r="D102" s="76"/>
      <c r="E102" s="76"/>
      <c r="F102" s="76"/>
      <c r="G102" s="76"/>
      <c r="H102" s="76"/>
      <c r="I102" s="76"/>
      <c r="J102" s="78"/>
      <c r="K102" s="76"/>
      <c r="L102" s="78"/>
      <c r="M102" s="78"/>
      <c r="N102" s="78"/>
    </row>
    <row r="103" spans="2:14" s="75" customFormat="1" ht="24" customHeight="1" x14ac:dyDescent="0.3">
      <c r="B103" s="76"/>
      <c r="C103" s="77"/>
      <c r="D103" s="76"/>
      <c r="E103" s="76"/>
      <c r="F103" s="76"/>
      <c r="G103" s="76"/>
      <c r="H103" s="76"/>
      <c r="I103" s="76"/>
      <c r="J103" s="78"/>
      <c r="K103" s="76"/>
      <c r="L103" s="78"/>
      <c r="M103" s="78"/>
      <c r="N103" s="78"/>
    </row>
    <row r="104" spans="2:14" s="75" customFormat="1" ht="24" customHeight="1" x14ac:dyDescent="0.3">
      <c r="B104" s="76"/>
      <c r="C104" s="77"/>
      <c r="D104" s="76"/>
      <c r="E104" s="76"/>
      <c r="F104" s="76"/>
      <c r="G104" s="76"/>
      <c r="H104" s="76"/>
      <c r="I104" s="76"/>
      <c r="J104" s="78"/>
      <c r="K104" s="76"/>
      <c r="L104" s="78"/>
      <c r="M104" s="78"/>
      <c r="N104" s="78"/>
    </row>
    <row r="105" spans="2:14" s="75" customFormat="1" ht="24" customHeight="1" x14ac:dyDescent="0.3">
      <c r="B105" s="76"/>
      <c r="C105" s="77"/>
      <c r="D105" s="76"/>
      <c r="E105" s="76"/>
      <c r="F105" s="76"/>
      <c r="G105" s="76"/>
      <c r="H105" s="76"/>
      <c r="I105" s="76"/>
      <c r="J105" s="78"/>
      <c r="K105" s="76"/>
      <c r="L105" s="78"/>
      <c r="M105" s="78"/>
      <c r="N105" s="78"/>
    </row>
    <row r="106" spans="2:14" s="75" customFormat="1" ht="61.25" customHeight="1" x14ac:dyDescent="0.3">
      <c r="B106" s="214" t="s">
        <v>376</v>
      </c>
      <c r="C106" s="214"/>
      <c r="D106" s="214"/>
      <c r="E106" s="214"/>
      <c r="F106" s="214"/>
      <c r="G106" s="214"/>
      <c r="H106" s="214"/>
      <c r="I106" s="214"/>
      <c r="J106" s="214"/>
      <c r="K106" s="214"/>
      <c r="L106" s="214"/>
      <c r="M106" s="78"/>
      <c r="N106" s="78"/>
    </row>
    <row r="107" spans="2:14" s="75" customFormat="1" ht="24" customHeight="1" x14ac:dyDescent="0.3">
      <c r="B107" s="76"/>
      <c r="C107" s="77"/>
      <c r="D107" s="76"/>
      <c r="E107" s="76"/>
      <c r="F107" s="76"/>
      <c r="G107" s="76"/>
      <c r="H107" s="76"/>
      <c r="I107" s="76"/>
      <c r="J107" s="78"/>
      <c r="K107" s="76"/>
      <c r="L107" s="78"/>
      <c r="M107" s="78"/>
      <c r="N107" s="78"/>
    </row>
    <row r="108" spans="2:14" s="75" customFormat="1" ht="44" customHeight="1" x14ac:dyDescent="0.3">
      <c r="B108" s="214" t="s">
        <v>368</v>
      </c>
      <c r="C108" s="214"/>
      <c r="D108" s="214"/>
      <c r="E108" s="214"/>
      <c r="F108" s="214"/>
      <c r="G108" s="214"/>
      <c r="H108" s="214"/>
      <c r="I108" s="214"/>
      <c r="J108" s="214"/>
      <c r="K108" s="214"/>
      <c r="L108" s="214"/>
      <c r="M108" s="214"/>
      <c r="N108" s="214"/>
    </row>
    <row r="109" spans="2:14" s="75" customFormat="1" ht="24" customHeight="1" x14ac:dyDescent="0.3">
      <c r="B109" s="76"/>
      <c r="C109" s="77"/>
      <c r="D109" s="77"/>
      <c r="E109" s="77"/>
      <c r="F109" s="77"/>
      <c r="G109" s="77"/>
      <c r="H109" s="77"/>
      <c r="I109" s="77"/>
      <c r="J109" s="77"/>
      <c r="K109" s="77"/>
      <c r="L109" s="77"/>
      <c r="M109" s="77"/>
      <c r="N109" s="77"/>
    </row>
    <row r="110" spans="2:14" s="75" customFormat="1" ht="61.25" customHeight="1" x14ac:dyDescent="0.3">
      <c r="B110" s="211" t="s">
        <v>466</v>
      </c>
      <c r="C110" s="211"/>
      <c r="D110" s="211"/>
      <c r="E110" s="211"/>
      <c r="F110" s="211"/>
      <c r="G110" s="211"/>
      <c r="H110" s="211"/>
      <c r="I110" s="211"/>
      <c r="J110" s="211"/>
      <c r="K110" s="211"/>
      <c r="L110" s="211"/>
      <c r="M110" s="211"/>
      <c r="N110" s="211"/>
    </row>
    <row r="111" spans="2:14" s="75" customFormat="1" ht="24" customHeight="1" x14ac:dyDescent="0.3">
      <c r="B111" s="76"/>
      <c r="C111" s="77"/>
      <c r="D111" s="51"/>
      <c r="E111" s="51"/>
      <c r="F111" s="51"/>
      <c r="G111" s="76"/>
      <c r="H111" s="76"/>
      <c r="I111" s="76"/>
      <c r="J111" s="78"/>
      <c r="K111" s="76"/>
      <c r="L111" s="78"/>
      <c r="M111" s="48"/>
      <c r="N111" s="48"/>
    </row>
    <row r="112" spans="2:14" s="75" customFormat="1" ht="125" customHeight="1" x14ac:dyDescent="0.3">
      <c r="B112" s="211" t="s">
        <v>567</v>
      </c>
      <c r="C112" s="211"/>
      <c r="D112" s="211"/>
      <c r="E112" s="211"/>
      <c r="F112" s="211"/>
      <c r="G112" s="211"/>
      <c r="H112" s="211"/>
      <c r="I112" s="211"/>
      <c r="J112" s="211"/>
      <c r="K112" s="211"/>
      <c r="L112" s="211"/>
      <c r="M112" s="211"/>
      <c r="N112" s="211"/>
    </row>
    <row r="113" spans="2:14" s="75" customFormat="1" ht="39" customHeight="1" x14ac:dyDescent="0.3">
      <c r="B113" s="76"/>
      <c r="C113" s="77"/>
      <c r="D113" s="51"/>
      <c r="E113" s="51"/>
      <c r="F113" s="51"/>
      <c r="G113" s="76"/>
      <c r="H113" s="76"/>
      <c r="I113" s="76"/>
      <c r="J113" s="78"/>
      <c r="K113" s="76"/>
      <c r="L113" s="78"/>
      <c r="M113" s="48"/>
      <c r="N113" s="48"/>
    </row>
    <row r="114" spans="2:14" s="75" customFormat="1" ht="24" customHeight="1" x14ac:dyDescent="0.3">
      <c r="B114" s="50" t="s">
        <v>471</v>
      </c>
      <c r="C114" s="77"/>
      <c r="D114" s="51"/>
      <c r="E114" s="51"/>
      <c r="F114" s="51"/>
      <c r="G114" s="76"/>
      <c r="H114" s="76"/>
      <c r="I114" s="76"/>
      <c r="J114" s="78"/>
      <c r="K114" s="76"/>
      <c r="L114" s="78"/>
      <c r="M114" s="48"/>
      <c r="N114" s="48"/>
    </row>
    <row r="115" spans="2:14" s="75" customFormat="1" ht="24" customHeight="1" thickBot="1" x14ac:dyDescent="0.35">
      <c r="B115" s="76"/>
      <c r="C115" s="77"/>
      <c r="D115" s="51"/>
      <c r="E115" s="51"/>
      <c r="F115" s="51"/>
      <c r="G115" s="76"/>
      <c r="H115" s="76"/>
      <c r="I115" s="76"/>
      <c r="J115" s="78"/>
      <c r="K115" s="76"/>
      <c r="L115" s="78"/>
      <c r="M115" s="48"/>
      <c r="N115" s="169"/>
    </row>
    <row r="116" spans="2:14" s="75" customFormat="1" ht="24" customHeight="1" thickBot="1" x14ac:dyDescent="0.35">
      <c r="B116" s="166" t="s">
        <v>481</v>
      </c>
      <c r="C116" s="77"/>
      <c r="D116" s="51"/>
      <c r="E116" s="51"/>
      <c r="F116" s="51"/>
      <c r="G116" s="76"/>
      <c r="H116" s="76"/>
      <c r="I116" s="76"/>
      <c r="J116" s="78"/>
      <c r="K116" s="76"/>
      <c r="L116" s="78"/>
      <c r="M116" s="48"/>
      <c r="N116" s="170"/>
    </row>
    <row r="117" spans="2:14" s="75" customFormat="1" ht="24" customHeight="1" x14ac:dyDescent="0.3">
      <c r="B117" s="76"/>
      <c r="C117" s="77"/>
      <c r="D117" s="213" t="s">
        <v>472</v>
      </c>
      <c r="E117" s="213"/>
      <c r="F117" s="213"/>
      <c r="G117" s="213"/>
      <c r="H117" s="213"/>
      <c r="I117" s="213"/>
      <c r="J117" s="213"/>
      <c r="K117" s="213"/>
      <c r="L117" s="213"/>
      <c r="M117" s="213"/>
      <c r="N117" s="169" t="s">
        <v>477</v>
      </c>
    </row>
    <row r="118" spans="2:14" s="75" customFormat="1" ht="24" customHeight="1" thickBot="1" x14ac:dyDescent="0.35">
      <c r="B118" s="76"/>
      <c r="C118" s="77"/>
      <c r="D118" s="51"/>
      <c r="E118" s="51"/>
      <c r="F118" s="51"/>
      <c r="G118" s="76"/>
      <c r="H118" s="76"/>
      <c r="I118" s="76"/>
      <c r="J118" s="78"/>
      <c r="K118" s="76"/>
      <c r="L118" s="78"/>
      <c r="M118" s="48"/>
      <c r="N118" s="169"/>
    </row>
    <row r="119" spans="2:14" s="75" customFormat="1" ht="24" customHeight="1" thickBot="1" x14ac:dyDescent="0.35">
      <c r="B119" s="76" t="s">
        <v>473</v>
      </c>
      <c r="C119" s="77"/>
      <c r="D119" s="51"/>
      <c r="E119" s="51"/>
      <c r="F119" s="51"/>
      <c r="G119" s="76"/>
      <c r="H119" s="76"/>
      <c r="I119" s="76"/>
      <c r="J119" s="78"/>
      <c r="K119" s="76"/>
      <c r="L119" s="78"/>
      <c r="M119" s="48"/>
      <c r="N119" s="170"/>
    </row>
    <row r="120" spans="2:14" s="75" customFormat="1" ht="24" customHeight="1" x14ac:dyDescent="0.3">
      <c r="B120" s="76"/>
      <c r="C120" s="77"/>
      <c r="D120" s="213" t="s">
        <v>482</v>
      </c>
      <c r="E120" s="213"/>
      <c r="F120" s="213"/>
      <c r="G120" s="213"/>
      <c r="H120" s="213"/>
      <c r="I120" s="213"/>
      <c r="J120" s="213"/>
      <c r="K120" s="213"/>
      <c r="L120" s="213"/>
      <c r="M120" s="213"/>
      <c r="N120" s="169" t="s">
        <v>477</v>
      </c>
    </row>
    <row r="121" spans="2:14" s="75" customFormat="1" ht="24" customHeight="1" x14ac:dyDescent="0.3">
      <c r="B121" s="76"/>
      <c r="C121" s="77"/>
      <c r="D121" s="51"/>
      <c r="E121" s="51"/>
      <c r="F121" s="51"/>
      <c r="G121" s="76"/>
      <c r="H121" s="76"/>
      <c r="I121" s="76"/>
      <c r="J121" s="78"/>
      <c r="K121" s="76"/>
      <c r="L121" s="78"/>
      <c r="M121" s="48"/>
      <c r="N121" s="169"/>
    </row>
    <row r="122" spans="2:14" s="75" customFormat="1" ht="24" customHeight="1" x14ac:dyDescent="0.3">
      <c r="B122" s="76"/>
      <c r="C122" s="77"/>
      <c r="D122" s="51"/>
      <c r="E122" s="51"/>
      <c r="F122" s="51"/>
      <c r="G122" s="76"/>
      <c r="H122" s="76"/>
      <c r="I122" s="76"/>
      <c r="J122" s="78"/>
      <c r="K122" s="76"/>
      <c r="L122" s="78"/>
      <c r="M122" s="48"/>
      <c r="N122" s="48"/>
    </row>
    <row r="123" spans="2:14" s="75" customFormat="1" ht="3" customHeight="1" x14ac:dyDescent="0.3">
      <c r="B123" s="76"/>
      <c r="C123" s="77"/>
      <c r="D123" s="51"/>
      <c r="E123" s="51"/>
      <c r="F123" s="51"/>
      <c r="G123" s="76"/>
      <c r="H123" s="76"/>
      <c r="I123" s="76"/>
      <c r="J123" s="78"/>
      <c r="K123" s="76"/>
      <c r="L123" s="78"/>
      <c r="M123" s="48"/>
      <c r="N123" s="48"/>
    </row>
    <row r="124" spans="2:14" s="75" customFormat="1" ht="24" hidden="1" customHeight="1" x14ac:dyDescent="0.3">
      <c r="B124" s="76"/>
      <c r="C124" s="77"/>
      <c r="D124" s="51"/>
      <c r="E124" s="51"/>
      <c r="F124" s="51"/>
      <c r="G124" s="76"/>
      <c r="H124" s="76"/>
      <c r="I124" s="76"/>
      <c r="J124" s="78"/>
      <c r="K124" s="76"/>
      <c r="L124" s="78"/>
      <c r="M124" s="48"/>
      <c r="N124" s="48"/>
    </row>
    <row r="125" spans="2:14" s="75" customFormat="1" ht="24" hidden="1" customHeight="1" x14ac:dyDescent="0.3">
      <c r="B125" s="76"/>
      <c r="C125" s="77"/>
      <c r="D125" s="51"/>
      <c r="E125" s="51"/>
      <c r="F125" s="51"/>
      <c r="G125" s="76"/>
      <c r="H125" s="76"/>
      <c r="I125" s="76"/>
      <c r="J125" s="78"/>
      <c r="K125" s="76"/>
      <c r="L125" s="78"/>
      <c r="M125" s="48"/>
      <c r="N125" s="48"/>
    </row>
    <row r="126" spans="2:14" s="75" customFormat="1" ht="24" hidden="1" customHeight="1" x14ac:dyDescent="0.3">
      <c r="B126" s="76"/>
      <c r="C126" s="77"/>
      <c r="D126" s="51"/>
      <c r="E126" s="51"/>
      <c r="F126" s="51"/>
      <c r="G126" s="76"/>
      <c r="H126" s="76"/>
      <c r="I126" s="76"/>
      <c r="J126" s="78"/>
      <c r="K126" s="76"/>
      <c r="L126" s="78"/>
      <c r="M126" s="48"/>
      <c r="N126" s="48"/>
    </row>
    <row r="127" spans="2:14" s="75" customFormat="1" ht="24" hidden="1" customHeight="1" x14ac:dyDescent="0.3">
      <c r="B127" s="76"/>
      <c r="C127" s="77"/>
      <c r="D127" s="51"/>
      <c r="E127" s="51"/>
      <c r="F127" s="51"/>
      <c r="G127" s="76"/>
      <c r="H127" s="76"/>
      <c r="I127" s="76"/>
      <c r="J127" s="78"/>
      <c r="K127" s="76"/>
      <c r="L127" s="78"/>
      <c r="M127" s="48"/>
      <c r="N127" s="48"/>
    </row>
    <row r="128" spans="2:14" s="75" customFormat="1" ht="24" customHeight="1" x14ac:dyDescent="0.3">
      <c r="B128" s="49" t="s">
        <v>330</v>
      </c>
      <c r="C128" s="79"/>
      <c r="D128" s="51"/>
      <c r="E128" s="51"/>
      <c r="F128" s="51"/>
      <c r="G128" s="76"/>
      <c r="H128" s="76"/>
      <c r="I128" s="76"/>
      <c r="J128" s="78"/>
      <c r="K128" s="76"/>
      <c r="L128" s="78"/>
      <c r="M128" s="48"/>
      <c r="N128" s="78"/>
    </row>
    <row r="129" spans="2:14" s="75" customFormat="1" ht="64.25" customHeight="1" x14ac:dyDescent="0.3">
      <c r="B129" s="211" t="s">
        <v>361</v>
      </c>
      <c r="C129" s="211"/>
      <c r="D129" s="211"/>
      <c r="E129" s="211"/>
      <c r="F129" s="211"/>
      <c r="G129" s="211"/>
      <c r="H129" s="211"/>
      <c r="I129" s="211"/>
      <c r="J129" s="211"/>
      <c r="K129" s="211"/>
      <c r="L129" s="211"/>
      <c r="M129" s="211"/>
      <c r="N129" s="211"/>
    </row>
    <row r="130" spans="2:14" s="75" customFormat="1" ht="14" customHeight="1" x14ac:dyDescent="0.3">
      <c r="B130" s="76"/>
      <c r="C130" s="214"/>
      <c r="D130" s="214"/>
      <c r="E130" s="214"/>
      <c r="F130" s="214"/>
      <c r="G130" s="214"/>
      <c r="H130" s="214"/>
      <c r="I130" s="214"/>
      <c r="J130" s="214"/>
      <c r="K130" s="214"/>
      <c r="L130" s="214"/>
      <c r="M130" s="78"/>
      <c r="N130" s="78"/>
    </row>
    <row r="131" spans="2:14" s="75" customFormat="1" ht="24" customHeight="1" x14ac:dyDescent="0.3">
      <c r="B131" s="49" t="s">
        <v>331</v>
      </c>
      <c r="C131" s="79"/>
      <c r="D131" s="77"/>
      <c r="E131" s="77"/>
      <c r="F131" s="77"/>
      <c r="G131" s="77"/>
      <c r="H131" s="77"/>
      <c r="I131" s="77"/>
      <c r="J131" s="78"/>
      <c r="K131" s="76"/>
      <c r="L131" s="78"/>
      <c r="M131" s="78"/>
      <c r="N131" s="78"/>
    </row>
    <row r="132" spans="2:14" s="75" customFormat="1" ht="63" customHeight="1" x14ac:dyDescent="0.3">
      <c r="B132" s="211" t="s">
        <v>461</v>
      </c>
      <c r="C132" s="211"/>
      <c r="D132" s="211"/>
      <c r="E132" s="211"/>
      <c r="F132" s="211"/>
      <c r="G132" s="211"/>
      <c r="H132" s="211"/>
      <c r="I132" s="211"/>
      <c r="J132" s="211"/>
      <c r="K132" s="211"/>
      <c r="L132" s="211"/>
      <c r="M132" s="211"/>
      <c r="N132" s="211"/>
    </row>
    <row r="133" spans="2:14" s="75" customFormat="1" ht="60.5" customHeight="1" x14ac:dyDescent="0.3">
      <c r="B133" s="211" t="s">
        <v>362</v>
      </c>
      <c r="C133" s="211"/>
      <c r="D133" s="211"/>
      <c r="E133" s="211"/>
      <c r="F133" s="211"/>
      <c r="G133" s="211"/>
      <c r="H133" s="211"/>
      <c r="I133" s="211"/>
      <c r="J133" s="211"/>
      <c r="K133" s="211"/>
      <c r="L133" s="211"/>
      <c r="M133" s="211"/>
      <c r="N133" s="211"/>
    </row>
    <row r="134" spans="2:14" s="75" customFormat="1" ht="24" customHeight="1" x14ac:dyDescent="0.3">
      <c r="B134" s="76"/>
      <c r="C134" s="77"/>
      <c r="D134" s="77"/>
      <c r="E134" s="77"/>
      <c r="F134" s="77"/>
      <c r="G134" s="77"/>
      <c r="H134" s="77"/>
      <c r="I134" s="77"/>
      <c r="J134" s="78"/>
      <c r="K134" s="76"/>
      <c r="L134" s="78"/>
      <c r="M134" s="78"/>
      <c r="N134" s="78"/>
    </row>
    <row r="135" spans="2:14" s="75" customFormat="1" ht="53" customHeight="1" x14ac:dyDescent="0.3">
      <c r="B135" s="211" t="s">
        <v>363</v>
      </c>
      <c r="C135" s="211"/>
      <c r="D135" s="211"/>
      <c r="E135" s="211"/>
      <c r="F135" s="211"/>
      <c r="G135" s="211"/>
      <c r="H135" s="211"/>
      <c r="I135" s="211"/>
      <c r="J135" s="211"/>
      <c r="K135" s="211"/>
      <c r="L135" s="211"/>
      <c r="M135" s="211"/>
      <c r="N135" s="211"/>
    </row>
    <row r="136" spans="2:14" s="75" customFormat="1" ht="14" customHeight="1" x14ac:dyDescent="0.3">
      <c r="B136" s="76"/>
      <c r="C136" s="77"/>
      <c r="D136" s="51"/>
      <c r="E136" s="51"/>
      <c r="F136" s="51"/>
      <c r="G136" s="76"/>
      <c r="H136" s="76"/>
      <c r="I136" s="76"/>
      <c r="J136" s="78"/>
      <c r="K136" s="76"/>
      <c r="L136" s="78"/>
      <c r="M136" s="78"/>
      <c r="N136" s="78"/>
    </row>
    <row r="137" spans="2:14" s="75" customFormat="1" ht="24" customHeight="1" x14ac:dyDescent="0.3">
      <c r="B137" s="214" t="s">
        <v>359</v>
      </c>
      <c r="C137" s="214"/>
      <c r="D137" s="214"/>
      <c r="E137" s="214"/>
      <c r="F137" s="214"/>
      <c r="G137" s="214"/>
      <c r="H137" s="214"/>
      <c r="I137" s="214"/>
      <c r="J137" s="214"/>
      <c r="K137" s="214"/>
      <c r="L137" s="214"/>
      <c r="M137" s="78"/>
      <c r="N137" s="78"/>
    </row>
    <row r="138" spans="2:14" s="75" customFormat="1" ht="37.25" customHeight="1" x14ac:dyDescent="0.3">
      <c r="B138" s="211" t="s">
        <v>360</v>
      </c>
      <c r="C138" s="211"/>
      <c r="D138" s="211"/>
      <c r="E138" s="211"/>
      <c r="F138" s="211"/>
      <c r="G138" s="211"/>
      <c r="H138" s="211"/>
      <c r="I138" s="211"/>
      <c r="J138" s="211"/>
      <c r="K138" s="211"/>
      <c r="L138" s="211"/>
      <c r="M138" s="211"/>
      <c r="N138" s="211"/>
    </row>
    <row r="139" spans="2:14" s="75" customFormat="1" ht="61.25" customHeight="1" x14ac:dyDescent="0.3">
      <c r="B139" s="253" t="s">
        <v>462</v>
      </c>
      <c r="C139" s="253"/>
      <c r="D139" s="253"/>
      <c r="E139" s="253"/>
      <c r="F139" s="253"/>
      <c r="G139" s="253"/>
      <c r="H139" s="253"/>
      <c r="I139" s="253"/>
      <c r="J139" s="253"/>
      <c r="K139" s="253"/>
      <c r="L139" s="253"/>
      <c r="M139" s="253"/>
      <c r="N139" s="253"/>
    </row>
    <row r="140" spans="2:14" s="75" customFormat="1" ht="31.25" customHeight="1" x14ac:dyDescent="0.3">
      <c r="B140" s="49" t="s">
        <v>332</v>
      </c>
      <c r="C140" s="79"/>
      <c r="D140" s="77"/>
      <c r="E140" s="77"/>
      <c r="F140" s="77"/>
      <c r="G140" s="77"/>
      <c r="H140" s="77"/>
      <c r="I140" s="77"/>
      <c r="J140" s="77"/>
      <c r="K140" s="77"/>
      <c r="L140" s="77"/>
      <c r="M140" s="78"/>
      <c r="N140" s="78"/>
    </row>
    <row r="141" spans="2:14" s="75" customFormat="1" ht="56" customHeight="1" x14ac:dyDescent="0.3">
      <c r="B141" s="211" t="s">
        <v>463</v>
      </c>
      <c r="C141" s="211"/>
      <c r="D141" s="211"/>
      <c r="E141" s="211"/>
      <c r="F141" s="211"/>
      <c r="G141" s="211"/>
      <c r="H141" s="211"/>
      <c r="I141" s="211"/>
      <c r="J141" s="211"/>
      <c r="K141" s="211"/>
      <c r="L141" s="211"/>
      <c r="M141" s="211"/>
      <c r="N141" s="211"/>
    </row>
    <row r="142" spans="2:14" s="75" customFormat="1" ht="24" customHeight="1" x14ac:dyDescent="0.3">
      <c r="B142" s="76"/>
      <c r="C142" s="214"/>
      <c r="D142" s="214"/>
      <c r="E142" s="214"/>
      <c r="F142" s="214"/>
      <c r="G142" s="214"/>
      <c r="H142" s="214"/>
      <c r="I142" s="214"/>
      <c r="J142" s="214"/>
      <c r="K142" s="214"/>
      <c r="L142" s="214"/>
      <c r="M142" s="78"/>
      <c r="N142" s="78"/>
    </row>
    <row r="143" spans="2:14" s="53" customFormat="1" ht="37.25" customHeight="1" x14ac:dyDescent="0.3">
      <c r="B143" s="57" t="s">
        <v>345</v>
      </c>
      <c r="C143" s="57"/>
      <c r="D143" s="58"/>
      <c r="E143" s="58"/>
      <c r="F143" s="58"/>
      <c r="G143" s="52"/>
      <c r="H143" s="52"/>
      <c r="I143" s="52"/>
      <c r="J143" s="54"/>
      <c r="K143" s="52"/>
      <c r="L143" s="54"/>
      <c r="M143" s="54"/>
      <c r="N143" s="54"/>
    </row>
    <row r="144" spans="2:14" s="53" customFormat="1" ht="24" customHeight="1" x14ac:dyDescent="0.3">
      <c r="B144" s="52"/>
      <c r="C144" s="250"/>
      <c r="D144" s="250"/>
      <c r="E144" s="250"/>
      <c r="F144" s="250"/>
      <c r="G144" s="250"/>
      <c r="H144" s="250"/>
      <c r="I144" s="250"/>
      <c r="J144" s="250"/>
      <c r="K144" s="250"/>
      <c r="L144" s="250"/>
      <c r="M144" s="250"/>
      <c r="N144" s="250"/>
    </row>
    <row r="145" spans="2:14" s="59" customFormat="1" ht="24" customHeight="1" x14ac:dyDescent="0.3">
      <c r="B145" s="251" t="s">
        <v>346</v>
      </c>
      <c r="C145" s="251"/>
      <c r="D145" s="251"/>
      <c r="E145" s="251"/>
      <c r="F145" s="251"/>
      <c r="G145" s="251"/>
      <c r="H145" s="251"/>
      <c r="I145" s="251"/>
      <c r="J145" s="251"/>
      <c r="K145" s="251"/>
      <c r="L145" s="251"/>
      <c r="M145" s="251"/>
      <c r="N145" s="251"/>
    </row>
    <row r="146" spans="2:14" s="59" customFormat="1" ht="59.75" customHeight="1" x14ac:dyDescent="0.3">
      <c r="B146" s="252" t="s">
        <v>347</v>
      </c>
      <c r="C146" s="252"/>
      <c r="D146" s="252"/>
      <c r="E146" s="252"/>
      <c r="F146" s="252"/>
      <c r="G146" s="252"/>
      <c r="H146" s="252"/>
      <c r="I146" s="252"/>
      <c r="J146" s="252"/>
      <c r="K146" s="252"/>
      <c r="L146" s="252"/>
      <c r="M146" s="252"/>
      <c r="N146" s="252"/>
    </row>
    <row r="147" spans="2:14" s="59" customFormat="1" ht="89" customHeight="1" x14ac:dyDescent="0.3">
      <c r="B147" s="56"/>
      <c r="C147" s="60" t="s">
        <v>35</v>
      </c>
      <c r="D147" s="257" t="s">
        <v>348</v>
      </c>
      <c r="E147" s="257"/>
      <c r="F147" s="257"/>
      <c r="G147" s="257"/>
      <c r="H147" s="257"/>
      <c r="I147" s="257"/>
      <c r="J147" s="257"/>
      <c r="K147" s="257"/>
      <c r="L147" s="257"/>
      <c r="M147" s="257"/>
      <c r="N147" s="64"/>
    </row>
    <row r="148" spans="2:14" s="59" customFormat="1" ht="70.25" customHeight="1" x14ac:dyDescent="0.3">
      <c r="B148" s="56"/>
      <c r="C148" s="60" t="s">
        <v>36</v>
      </c>
      <c r="D148" s="257" t="s">
        <v>349</v>
      </c>
      <c r="E148" s="257"/>
      <c r="F148" s="257"/>
      <c r="G148" s="257"/>
      <c r="H148" s="257"/>
      <c r="I148" s="257"/>
      <c r="J148" s="257"/>
      <c r="K148" s="257"/>
      <c r="L148" s="257"/>
      <c r="M148" s="257"/>
      <c r="N148" s="64"/>
    </row>
    <row r="149" spans="2:14" s="59" customFormat="1" ht="61.25" customHeight="1" x14ac:dyDescent="0.3">
      <c r="B149" s="56"/>
      <c r="C149" s="60" t="s">
        <v>37</v>
      </c>
      <c r="D149" s="257" t="s">
        <v>38</v>
      </c>
      <c r="E149" s="257"/>
      <c r="F149" s="257"/>
      <c r="G149" s="257"/>
      <c r="H149" s="257"/>
      <c r="I149" s="257"/>
      <c r="J149" s="257"/>
      <c r="K149" s="257"/>
      <c r="L149" s="257"/>
      <c r="M149" s="257"/>
      <c r="N149" s="62"/>
    </row>
    <row r="150" spans="2:14" s="59" customFormat="1" ht="67.25" customHeight="1" x14ac:dyDescent="0.3">
      <c r="B150" s="56"/>
      <c r="C150" s="60" t="s">
        <v>39</v>
      </c>
      <c r="D150" s="257" t="s">
        <v>350</v>
      </c>
      <c r="E150" s="257"/>
      <c r="F150" s="257"/>
      <c r="G150" s="257"/>
      <c r="H150" s="257"/>
      <c r="I150" s="257"/>
      <c r="J150" s="257"/>
      <c r="K150" s="257"/>
      <c r="L150" s="257"/>
      <c r="M150" s="257"/>
      <c r="N150" s="64"/>
    </row>
    <row r="151" spans="2:14" s="59" customFormat="1" ht="113" customHeight="1" x14ac:dyDescent="0.3">
      <c r="B151" s="56"/>
      <c r="C151" s="60" t="s">
        <v>51</v>
      </c>
      <c r="D151" s="257" t="s">
        <v>351</v>
      </c>
      <c r="E151" s="257"/>
      <c r="F151" s="257"/>
      <c r="G151" s="257"/>
      <c r="H151" s="257"/>
      <c r="I151" s="257"/>
      <c r="J151" s="257"/>
      <c r="K151" s="257"/>
      <c r="L151" s="257"/>
      <c r="M151" s="257"/>
      <c r="N151" s="64"/>
    </row>
    <row r="152" spans="2:14" s="59" customFormat="1" ht="134" customHeight="1" x14ac:dyDescent="0.3">
      <c r="B152" s="56"/>
      <c r="C152" s="60" t="s">
        <v>465</v>
      </c>
      <c r="D152" s="257" t="s">
        <v>497</v>
      </c>
      <c r="E152" s="257"/>
      <c r="F152" s="257"/>
      <c r="G152" s="257"/>
      <c r="H152" s="257"/>
      <c r="I152" s="257"/>
      <c r="J152" s="257"/>
      <c r="K152" s="257"/>
      <c r="L152" s="257"/>
      <c r="M152" s="257"/>
      <c r="N152" s="164" t="s">
        <v>464</v>
      </c>
    </row>
    <row r="153" spans="2:14" s="53" customFormat="1" ht="59.75" customHeight="1" x14ac:dyDescent="0.3">
      <c r="B153" s="219" t="s">
        <v>33</v>
      </c>
      <c r="C153" s="219"/>
      <c r="D153" s="218" t="s">
        <v>40</v>
      </c>
      <c r="E153" s="218"/>
      <c r="F153" s="218"/>
      <c r="G153" s="219"/>
      <c r="H153" s="219"/>
      <c r="I153" s="219"/>
      <c r="J153" s="219"/>
      <c r="K153" s="219"/>
      <c r="L153" s="219"/>
      <c r="M153" s="218"/>
      <c r="N153" s="218"/>
    </row>
    <row r="154" spans="2:14" s="53" customFormat="1" ht="206" customHeight="1" x14ac:dyDescent="0.3">
      <c r="B154" s="52"/>
      <c r="C154" s="63" t="s">
        <v>381</v>
      </c>
      <c r="D154" s="254" t="e">
        <f>VLOOKUP(C154,Table2[#All],2,FALSE)</f>
        <v>#N/A</v>
      </c>
      <c r="E154" s="255"/>
      <c r="F154" s="255"/>
      <c r="G154" s="255"/>
      <c r="H154" s="255"/>
      <c r="I154" s="255"/>
      <c r="J154" s="255"/>
      <c r="K154" s="255"/>
      <c r="L154" s="255"/>
      <c r="M154" s="256"/>
      <c r="N154" s="163" t="s">
        <v>464</v>
      </c>
    </row>
    <row r="155" spans="2:14" s="53" customFormat="1" ht="206" customHeight="1" x14ac:dyDescent="0.3">
      <c r="B155" s="52"/>
      <c r="C155" s="63"/>
      <c r="D155" s="254" t="e">
        <f>VLOOKUP(C155,Table2[#All],2,FALSE)</f>
        <v>#N/A</v>
      </c>
      <c r="E155" s="255"/>
      <c r="F155" s="255"/>
      <c r="G155" s="255"/>
      <c r="H155" s="255"/>
      <c r="I155" s="255"/>
      <c r="J155" s="255"/>
      <c r="K155" s="255"/>
      <c r="L155" s="255"/>
      <c r="M155" s="256"/>
      <c r="N155" s="163" t="s">
        <v>464</v>
      </c>
    </row>
    <row r="156" spans="2:14" s="53" customFormat="1" ht="206" customHeight="1" x14ac:dyDescent="0.3">
      <c r="B156" s="52"/>
      <c r="C156" s="63"/>
      <c r="D156" s="254" t="e">
        <f>VLOOKUP(C156,Table2[#All],2,FALSE)</f>
        <v>#N/A</v>
      </c>
      <c r="E156" s="255"/>
      <c r="F156" s="255"/>
      <c r="G156" s="255"/>
      <c r="H156" s="255"/>
      <c r="I156" s="255"/>
      <c r="J156" s="255"/>
      <c r="K156" s="255"/>
      <c r="L156" s="255"/>
      <c r="M156" s="256"/>
      <c r="N156" s="163" t="s">
        <v>464</v>
      </c>
    </row>
    <row r="157" spans="2:14" s="53" customFormat="1" ht="206" customHeight="1" x14ac:dyDescent="0.3">
      <c r="B157" s="52"/>
      <c r="C157" s="63"/>
      <c r="D157" s="254" t="e">
        <f>VLOOKUP(C157,Table2[#All],2,FALSE)</f>
        <v>#N/A</v>
      </c>
      <c r="E157" s="255"/>
      <c r="F157" s="255"/>
      <c r="G157" s="255"/>
      <c r="H157" s="255"/>
      <c r="I157" s="255"/>
      <c r="J157" s="255"/>
      <c r="K157" s="255"/>
      <c r="L157" s="255"/>
      <c r="M157" s="256"/>
      <c r="N157" s="163" t="s">
        <v>464</v>
      </c>
    </row>
    <row r="158" spans="2:14" s="53" customFormat="1" ht="206" customHeight="1" x14ac:dyDescent="0.3">
      <c r="B158" s="52"/>
      <c r="C158" s="63"/>
      <c r="D158" s="254" t="e">
        <f>VLOOKUP(C158,Table2[#All],2,FALSE)</f>
        <v>#N/A</v>
      </c>
      <c r="E158" s="255"/>
      <c r="F158" s="255"/>
      <c r="G158" s="255"/>
      <c r="H158" s="255"/>
      <c r="I158" s="255"/>
      <c r="J158" s="255"/>
      <c r="K158" s="255"/>
      <c r="L158" s="255"/>
      <c r="M158" s="256"/>
      <c r="N158" s="163" t="s">
        <v>464</v>
      </c>
    </row>
    <row r="159" spans="2:14" s="53" customFormat="1" ht="206" customHeight="1" x14ac:dyDescent="0.3">
      <c r="B159" s="52"/>
      <c r="C159" s="63"/>
      <c r="D159" s="254" t="e">
        <f>VLOOKUP(C159,Table2[#All],2,FALSE)</f>
        <v>#N/A</v>
      </c>
      <c r="E159" s="255"/>
      <c r="F159" s="255"/>
      <c r="G159" s="255"/>
      <c r="H159" s="255"/>
      <c r="I159" s="255"/>
      <c r="J159" s="255"/>
      <c r="K159" s="255"/>
      <c r="L159" s="255"/>
      <c r="M159" s="256"/>
      <c r="N159" s="163" t="s">
        <v>464</v>
      </c>
    </row>
    <row r="160" spans="2:14" s="53" customFormat="1" ht="59.75" customHeight="1" x14ac:dyDescent="0.3">
      <c r="B160" s="52"/>
      <c r="C160" s="60"/>
      <c r="D160" s="64"/>
      <c r="E160" s="64"/>
      <c r="F160" s="64"/>
      <c r="G160" s="60"/>
      <c r="H160" s="60"/>
      <c r="I160" s="60"/>
      <c r="J160" s="60"/>
      <c r="K160" s="60"/>
      <c r="L160" s="65"/>
      <c r="M160" s="66"/>
      <c r="N160" s="67"/>
    </row>
    <row r="161" spans="2:14" s="75" customFormat="1" ht="24" customHeight="1" x14ac:dyDescent="0.3">
      <c r="B161" s="76"/>
      <c r="C161" s="77"/>
      <c r="D161" s="77"/>
      <c r="E161" s="77"/>
      <c r="F161" s="77"/>
      <c r="G161" s="77"/>
      <c r="H161" s="77"/>
      <c r="I161" s="77"/>
      <c r="J161" s="77"/>
      <c r="K161" s="77"/>
      <c r="L161" s="77"/>
      <c r="M161" s="78"/>
      <c r="N161" s="78"/>
    </row>
    <row r="162" spans="2:14" s="75" customFormat="1" ht="24" customHeight="1" x14ac:dyDescent="0.3">
      <c r="B162" s="76"/>
      <c r="C162" s="77" t="s">
        <v>333</v>
      </c>
      <c r="D162" s="77" t="s">
        <v>334</v>
      </c>
      <c r="E162" s="77"/>
      <c r="F162" s="77"/>
      <c r="G162" s="77"/>
      <c r="H162" s="77" t="s">
        <v>382</v>
      </c>
      <c r="I162" s="77"/>
      <c r="J162" s="77"/>
      <c r="K162" s="77"/>
      <c r="L162" s="77"/>
      <c r="M162" s="78"/>
      <c r="N162" s="78"/>
    </row>
    <row r="163" spans="2:14" s="75" customFormat="1" ht="24" customHeight="1" x14ac:dyDescent="0.3">
      <c r="B163" s="76"/>
      <c r="C163" s="77"/>
      <c r="D163" s="77"/>
      <c r="E163" s="77"/>
      <c r="F163" s="77"/>
      <c r="G163" s="77"/>
      <c r="H163" s="77"/>
      <c r="I163" s="77"/>
      <c r="J163" s="77"/>
      <c r="K163" s="77"/>
      <c r="L163" s="77"/>
      <c r="M163" s="78"/>
      <c r="N163" s="78"/>
    </row>
    <row r="164" spans="2:14" s="75" customFormat="1" ht="24" customHeight="1" x14ac:dyDescent="0.3">
      <c r="B164" s="76"/>
      <c r="C164" s="77"/>
      <c r="D164" s="77"/>
      <c r="E164" s="77"/>
      <c r="F164" s="77"/>
      <c r="G164" s="77"/>
      <c r="H164" s="77"/>
      <c r="I164" s="77"/>
      <c r="J164" s="77"/>
      <c r="K164" s="77"/>
      <c r="L164" s="77"/>
      <c r="M164" s="78"/>
      <c r="N164" s="78"/>
    </row>
    <row r="165" spans="2:14" s="75" customFormat="1" ht="24" customHeight="1" x14ac:dyDescent="0.3">
      <c r="B165" s="76"/>
      <c r="C165" s="77" t="s">
        <v>383</v>
      </c>
      <c r="D165" s="77"/>
      <c r="E165" s="77"/>
      <c r="F165" s="77"/>
      <c r="G165" s="77"/>
      <c r="H165" s="77"/>
      <c r="I165" s="77"/>
      <c r="J165" s="77"/>
      <c r="K165" s="77"/>
      <c r="L165" s="77"/>
      <c r="M165" s="78"/>
      <c r="N165" s="78"/>
    </row>
    <row r="166" spans="2:14" s="75" customFormat="1" ht="24" customHeight="1" x14ac:dyDescent="0.3">
      <c r="B166" s="76"/>
      <c r="C166" s="77"/>
      <c r="D166" s="77"/>
      <c r="E166" s="77"/>
      <c r="F166" s="77"/>
      <c r="G166" s="77"/>
      <c r="H166" s="77"/>
      <c r="I166" s="77"/>
      <c r="J166" s="77"/>
      <c r="K166" s="77"/>
      <c r="L166" s="77"/>
      <c r="M166" s="78"/>
      <c r="N166" s="78"/>
    </row>
    <row r="167" spans="2:14" s="75" customFormat="1" ht="24" customHeight="1" x14ac:dyDescent="0.3">
      <c r="B167" s="76"/>
      <c r="C167" s="77"/>
      <c r="D167" s="77"/>
      <c r="E167" s="77"/>
      <c r="F167" s="77"/>
      <c r="G167" s="77"/>
      <c r="H167" s="77"/>
      <c r="I167" s="77"/>
      <c r="J167" s="77"/>
      <c r="K167" s="77"/>
      <c r="L167" s="77"/>
      <c r="M167" s="78"/>
      <c r="N167" s="78"/>
    </row>
    <row r="168" spans="2:14" s="75" customFormat="1" ht="24" customHeight="1" x14ac:dyDescent="0.3">
      <c r="B168" s="76"/>
      <c r="C168" s="77" t="s">
        <v>335</v>
      </c>
      <c r="D168" s="77" t="s">
        <v>334</v>
      </c>
      <c r="E168" s="77"/>
      <c r="F168" s="77"/>
      <c r="G168" s="77"/>
      <c r="H168" s="77"/>
      <c r="I168" s="77"/>
      <c r="J168" s="77"/>
      <c r="K168" s="77"/>
      <c r="L168" s="77"/>
      <c r="M168" s="78"/>
      <c r="N168" s="78"/>
    </row>
    <row r="169" spans="2:14" s="75" customFormat="1" ht="24" customHeight="1" x14ac:dyDescent="0.3">
      <c r="B169" s="76"/>
      <c r="C169" s="77"/>
      <c r="D169" s="77"/>
      <c r="E169" s="77"/>
      <c r="F169" s="77"/>
      <c r="G169" s="77"/>
      <c r="H169" s="77"/>
      <c r="I169" s="77"/>
      <c r="J169" s="77"/>
      <c r="K169" s="77"/>
      <c r="L169" s="77"/>
      <c r="M169" s="78"/>
      <c r="N169" s="78"/>
    </row>
    <row r="170" spans="2:14" s="75" customFormat="1" ht="24" customHeight="1" x14ac:dyDescent="0.3">
      <c r="B170" s="76"/>
      <c r="C170" s="77"/>
      <c r="D170" s="77"/>
      <c r="E170" s="77"/>
      <c r="F170" s="77"/>
      <c r="G170" s="77"/>
      <c r="H170" s="77"/>
      <c r="I170" s="77"/>
      <c r="J170" s="77"/>
      <c r="K170" s="77"/>
      <c r="L170" s="77"/>
      <c r="M170" s="78"/>
      <c r="N170" s="78"/>
    </row>
    <row r="171" spans="2:14" s="75" customFormat="1" ht="24" customHeight="1" x14ac:dyDescent="0.3">
      <c r="B171" s="76"/>
      <c r="C171" s="77"/>
      <c r="D171" s="77"/>
      <c r="E171" s="77"/>
      <c r="F171" s="77"/>
      <c r="G171" s="77"/>
      <c r="H171" s="80"/>
      <c r="I171" s="80"/>
      <c r="J171" s="80" t="s">
        <v>338</v>
      </c>
      <c r="K171" s="77"/>
      <c r="L171" s="77"/>
      <c r="M171" s="78"/>
      <c r="N171" s="78"/>
    </row>
    <row r="172" spans="2:14" s="75" customFormat="1" ht="24" customHeight="1" x14ac:dyDescent="0.3">
      <c r="B172" s="76"/>
      <c r="C172" s="77" t="s">
        <v>336</v>
      </c>
      <c r="D172" s="77"/>
      <c r="E172" s="77"/>
      <c r="F172" s="77"/>
      <c r="G172" s="77"/>
      <c r="H172" s="77"/>
      <c r="I172" s="77"/>
      <c r="J172" s="77" t="s">
        <v>339</v>
      </c>
      <c r="K172" s="77" t="s">
        <v>393</v>
      </c>
      <c r="L172" s="77"/>
      <c r="M172" s="78"/>
      <c r="N172" s="78"/>
    </row>
    <row r="173" spans="2:14" s="75" customFormat="1" ht="24" customHeight="1" x14ac:dyDescent="0.3">
      <c r="B173" s="76"/>
      <c r="C173" s="77"/>
      <c r="D173" s="77"/>
      <c r="E173" s="77"/>
      <c r="F173" s="77"/>
      <c r="G173" s="77"/>
      <c r="H173" s="77"/>
      <c r="I173" s="77"/>
      <c r="J173" s="77" t="s">
        <v>340</v>
      </c>
      <c r="K173" s="77">
        <v>255655</v>
      </c>
      <c r="L173" s="77"/>
      <c r="M173" s="78"/>
      <c r="N173" s="78"/>
    </row>
    <row r="174" spans="2:14" s="75" customFormat="1" ht="24" customHeight="1" x14ac:dyDescent="0.3">
      <c r="B174" s="76"/>
      <c r="C174" s="77"/>
      <c r="D174" s="77"/>
      <c r="E174" s="77"/>
      <c r="F174" s="77"/>
      <c r="G174" s="77"/>
      <c r="H174" s="77"/>
      <c r="I174" s="77"/>
      <c r="J174" s="96" t="s">
        <v>341</v>
      </c>
      <c r="K174" s="77" t="s">
        <v>394</v>
      </c>
      <c r="L174" s="77"/>
      <c r="M174" s="78"/>
      <c r="N174" s="78"/>
    </row>
    <row r="175" spans="2:14" s="75" customFormat="1" ht="24" customHeight="1" x14ac:dyDescent="0.3">
      <c r="B175" s="76"/>
      <c r="C175" s="77"/>
      <c r="D175" s="77"/>
      <c r="E175" s="77"/>
      <c r="F175" s="77"/>
      <c r="G175" s="77"/>
      <c r="H175" s="77"/>
      <c r="I175" s="77"/>
      <c r="J175" s="77" t="s">
        <v>342</v>
      </c>
      <c r="K175" s="214">
        <v>62695604176</v>
      </c>
      <c r="L175" s="214"/>
      <c r="M175" s="214"/>
      <c r="N175" s="78"/>
    </row>
    <row r="176" spans="2:14" s="75" customFormat="1" ht="24" customHeight="1" x14ac:dyDescent="0.3">
      <c r="B176" s="76"/>
      <c r="C176" s="216"/>
      <c r="D176" s="216"/>
      <c r="E176" s="216"/>
      <c r="F176" s="77"/>
      <c r="G176" s="77"/>
      <c r="H176" s="77"/>
      <c r="I176" s="77"/>
      <c r="J176" s="77" t="s">
        <v>343</v>
      </c>
      <c r="K176" s="77" t="s">
        <v>344</v>
      </c>
      <c r="L176" s="77"/>
      <c r="M176" s="78"/>
      <c r="N176" s="78"/>
    </row>
    <row r="177" spans="2:14" s="75" customFormat="1" ht="51" customHeight="1" x14ac:dyDescent="0.8">
      <c r="B177" s="76"/>
      <c r="C177" s="220" t="s">
        <v>384</v>
      </c>
      <c r="D177" s="220"/>
      <c r="E177" s="220"/>
      <c r="F177" s="77"/>
      <c r="G177" s="77"/>
      <c r="H177" s="77"/>
      <c r="I177" s="77"/>
      <c r="J177" s="77"/>
      <c r="K177" s="77"/>
      <c r="L177" s="77"/>
      <c r="M177" s="78"/>
      <c r="N177" s="78"/>
    </row>
    <row r="178" spans="2:14" s="75" customFormat="1" ht="24" customHeight="1" x14ac:dyDescent="0.3">
      <c r="B178" s="76"/>
      <c r="C178" s="217" t="s">
        <v>337</v>
      </c>
      <c r="D178" s="217"/>
      <c r="E178" s="217"/>
      <c r="F178" s="77"/>
      <c r="G178" s="77"/>
      <c r="H178" s="77"/>
      <c r="I178" s="77"/>
      <c r="J178" s="77" t="s">
        <v>597</v>
      </c>
      <c r="K178" s="77" t="s">
        <v>598</v>
      </c>
      <c r="L178" s="77"/>
      <c r="M178" s="78"/>
      <c r="N178" s="78"/>
    </row>
  </sheetData>
  <mergeCells count="125">
    <mergeCell ref="K175:M175"/>
    <mergeCell ref="B137:L137"/>
    <mergeCell ref="B138:N138"/>
    <mergeCell ref="B141:N141"/>
    <mergeCell ref="M153:N153"/>
    <mergeCell ref="C144:N144"/>
    <mergeCell ref="B145:N145"/>
    <mergeCell ref="B146:N146"/>
    <mergeCell ref="B153:C153"/>
    <mergeCell ref="B139:N139"/>
    <mergeCell ref="D154:M154"/>
    <mergeCell ref="D155:M155"/>
    <mergeCell ref="D159:M159"/>
    <mergeCell ref="D156:M156"/>
    <mergeCell ref="D157:M157"/>
    <mergeCell ref="D158:M158"/>
    <mergeCell ref="D152:M152"/>
    <mergeCell ref="D151:M151"/>
    <mergeCell ref="D150:M150"/>
    <mergeCell ref="D149:M149"/>
    <mergeCell ref="D148:M148"/>
    <mergeCell ref="D147:M147"/>
    <mergeCell ref="Q44:T44"/>
    <mergeCell ref="E70:G70"/>
    <mergeCell ref="E80:G80"/>
    <mergeCell ref="E44:F44"/>
    <mergeCell ref="E72:G72"/>
    <mergeCell ref="E50:G50"/>
    <mergeCell ref="E51:G51"/>
    <mergeCell ref="E52:G52"/>
    <mergeCell ref="E53:G53"/>
    <mergeCell ref="E45:G45"/>
    <mergeCell ref="E46:G46"/>
    <mergeCell ref="E47:G47"/>
    <mergeCell ref="E48:G48"/>
    <mergeCell ref="E49:G49"/>
    <mergeCell ref="E75:G75"/>
    <mergeCell ref="E65:G65"/>
    <mergeCell ref="E66:G66"/>
    <mergeCell ref="E67:G67"/>
    <mergeCell ref="E68:G68"/>
    <mergeCell ref="E69:G69"/>
    <mergeCell ref="E60:G60"/>
    <mergeCell ref="E61:G61"/>
    <mergeCell ref="E62:G62"/>
    <mergeCell ref="E63:G63"/>
    <mergeCell ref="B27:N28"/>
    <mergeCell ref="B30:E30"/>
    <mergeCell ref="F30:J30"/>
    <mergeCell ref="G90:L90"/>
    <mergeCell ref="L31:N31"/>
    <mergeCell ref="E88:G88"/>
    <mergeCell ref="E84:G84"/>
    <mergeCell ref="L30:N30"/>
    <mergeCell ref="C31:D31"/>
    <mergeCell ref="C37:D37"/>
    <mergeCell ref="F37:K37"/>
    <mergeCell ref="F31:K31"/>
    <mergeCell ref="L37:N37"/>
    <mergeCell ref="B39:L39"/>
    <mergeCell ref="C32:D32"/>
    <mergeCell ref="F32:K32"/>
    <mergeCell ref="C83:I83"/>
    <mergeCell ref="G81:L81"/>
    <mergeCell ref="C81:F81"/>
    <mergeCell ref="B41:J41"/>
    <mergeCell ref="L41:N41"/>
    <mergeCell ref="E76:G76"/>
    <mergeCell ref="E73:G73"/>
    <mergeCell ref="C35:D35"/>
    <mergeCell ref="C14:M14"/>
    <mergeCell ref="B20:N21"/>
    <mergeCell ref="B23:N24"/>
    <mergeCell ref="B26:E26"/>
    <mergeCell ref="C1:L7"/>
    <mergeCell ref="C10:M10"/>
    <mergeCell ref="C11:M11"/>
    <mergeCell ref="C12:M12"/>
    <mergeCell ref="C13:M13"/>
    <mergeCell ref="F26:K26"/>
    <mergeCell ref="L32:N32"/>
    <mergeCell ref="C33:D33"/>
    <mergeCell ref="F33:K33"/>
    <mergeCell ref="L33:N33"/>
    <mergeCell ref="C34:D34"/>
    <mergeCell ref="F34:K34"/>
    <mergeCell ref="L34:N34"/>
    <mergeCell ref="C178:E178"/>
    <mergeCell ref="D153:F153"/>
    <mergeCell ref="C142:L142"/>
    <mergeCell ref="G153:L153"/>
    <mergeCell ref="E71:G71"/>
    <mergeCell ref="E74:G74"/>
    <mergeCell ref="B112:N112"/>
    <mergeCell ref="B110:N110"/>
    <mergeCell ref="C176:E176"/>
    <mergeCell ref="C177:E177"/>
    <mergeCell ref="B132:N132"/>
    <mergeCell ref="D93:F93"/>
    <mergeCell ref="E85:G85"/>
    <mergeCell ref="E86:G86"/>
    <mergeCell ref="E87:G87"/>
    <mergeCell ref="C82:M82"/>
    <mergeCell ref="B108:N108"/>
    <mergeCell ref="B133:N133"/>
    <mergeCell ref="B135:N135"/>
    <mergeCell ref="F35:K35"/>
    <mergeCell ref="L35:N35"/>
    <mergeCell ref="C36:D36"/>
    <mergeCell ref="F36:K36"/>
    <mergeCell ref="L36:N36"/>
    <mergeCell ref="D117:M117"/>
    <mergeCell ref="B106:L106"/>
    <mergeCell ref="E77:G77"/>
    <mergeCell ref="C130:L130"/>
    <mergeCell ref="D120:M120"/>
    <mergeCell ref="B129:N129"/>
    <mergeCell ref="G93:L93"/>
    <mergeCell ref="E54:G54"/>
    <mergeCell ref="E55:G55"/>
    <mergeCell ref="E56:G56"/>
    <mergeCell ref="E57:G57"/>
    <mergeCell ref="E58:G58"/>
    <mergeCell ref="E59:G59"/>
    <mergeCell ref="E64:G64"/>
  </mergeCells>
  <phoneticPr fontId="14" type="noConversion"/>
  <pageMargins left="0.7" right="0.7" top="0.75" bottom="0.75" header="0.3" footer="0.3"/>
  <pageSetup paperSize="9" scale="31" fitToHeight="3"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9C9DDBDE-EF8F-8447-93C8-7E02920B4917}">
          <x14:formula1>
            <xm:f>'Lookup Items'!$B$3:$B$341</xm:f>
          </x14:formula1>
          <xm:sqref>D84:D88 D45:D80</xm:sqref>
        </x14:dataValidation>
        <x14:dataValidation type="list" allowBlank="1" showInputMessage="1" showErrorMessage="1" xr:uid="{4B1026F7-6732-654B-A78F-43DC377ACCEB}">
          <x14:formula1>
            <xm:f>'Lookup Items'!$B$348:$B$383</xm:f>
          </x14:formula1>
          <xm:sqref>C154:C160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EFAFB-4945-0049-8DD1-6ED09F38DA1D}">
  <dimension ref="A1:Q135"/>
  <sheetViews>
    <sheetView topLeftCell="A49" workbookViewId="0">
      <selection activeCell="D63" sqref="D63"/>
    </sheetView>
  </sheetViews>
  <sheetFormatPr baseColWidth="10" defaultColWidth="11.1640625" defaultRowHeight="16" x14ac:dyDescent="0.2"/>
  <cols>
    <col min="1" max="1" width="8" customWidth="1"/>
    <col min="2" max="2" width="10.6640625" style="25" customWidth="1"/>
    <col min="3" max="3" width="13.6640625" style="24" customWidth="1"/>
    <col min="4" max="6" width="15.5" style="25" customWidth="1"/>
    <col min="7" max="7" width="10.5" style="25" customWidth="1"/>
    <col min="8" max="9" width="13.1640625" style="25" customWidth="1"/>
    <col min="10" max="10" width="10.6640625" style="26" customWidth="1"/>
    <col min="11" max="11" width="16" style="25" customWidth="1"/>
    <col min="12" max="12" width="9.1640625" style="26" customWidth="1"/>
    <col min="13" max="13" width="16.1640625" style="26" customWidth="1"/>
    <col min="14" max="14" width="16.5" style="26" customWidth="1"/>
  </cols>
  <sheetData>
    <row r="1" spans="1:15" x14ac:dyDescent="0.2">
      <c r="B1" s="23"/>
      <c r="C1" s="226"/>
      <c r="D1" s="226"/>
      <c r="E1" s="226"/>
      <c r="F1" s="226"/>
      <c r="G1" s="226"/>
      <c r="H1" s="226"/>
      <c r="I1" s="226"/>
      <c r="J1" s="226"/>
      <c r="K1" s="226"/>
      <c r="L1" s="226"/>
    </row>
    <row r="2" spans="1:15" ht="24" x14ac:dyDescent="0.3">
      <c r="B2" s="32"/>
      <c r="C2" s="226"/>
      <c r="D2" s="226"/>
      <c r="E2" s="226"/>
      <c r="F2" s="226"/>
      <c r="G2" s="226"/>
      <c r="H2" s="226"/>
      <c r="I2" s="226"/>
      <c r="J2" s="226"/>
      <c r="K2" s="226"/>
      <c r="L2" s="226"/>
    </row>
    <row r="3" spans="1:15" x14ac:dyDescent="0.2">
      <c r="C3" s="226"/>
      <c r="D3" s="226"/>
      <c r="E3" s="226"/>
      <c r="F3" s="226"/>
      <c r="G3" s="226"/>
      <c r="H3" s="226"/>
      <c r="I3" s="226"/>
      <c r="J3" s="226"/>
      <c r="K3" s="226"/>
      <c r="L3" s="226"/>
    </row>
    <row r="4" spans="1:15" ht="21" x14ac:dyDescent="0.25">
      <c r="A4" s="4"/>
      <c r="B4" s="27"/>
      <c r="C4" s="226"/>
      <c r="D4" s="226"/>
      <c r="E4" s="226"/>
      <c r="F4" s="226"/>
      <c r="G4" s="226"/>
      <c r="H4" s="226"/>
      <c r="I4" s="226"/>
      <c r="J4" s="226"/>
      <c r="K4" s="226"/>
      <c r="L4" s="226"/>
      <c r="M4" s="29"/>
      <c r="N4" s="29"/>
      <c r="O4" s="4"/>
    </row>
    <row r="5" spans="1:15" x14ac:dyDescent="0.2">
      <c r="C5" s="226"/>
      <c r="D5" s="226"/>
      <c r="E5" s="226"/>
      <c r="F5" s="226"/>
      <c r="G5" s="226"/>
      <c r="H5" s="226"/>
      <c r="I5" s="226"/>
      <c r="J5" s="226"/>
      <c r="K5" s="226"/>
      <c r="L5" s="226"/>
    </row>
    <row r="6" spans="1:15" x14ac:dyDescent="0.2">
      <c r="C6" s="226"/>
      <c r="D6" s="226"/>
      <c r="E6" s="226"/>
      <c r="F6" s="226"/>
      <c r="G6" s="226"/>
      <c r="H6" s="226"/>
      <c r="I6" s="226"/>
      <c r="J6" s="226"/>
      <c r="K6" s="226"/>
      <c r="L6" s="226"/>
    </row>
    <row r="7" spans="1:15" x14ac:dyDescent="0.2">
      <c r="C7" s="226"/>
      <c r="D7" s="226"/>
      <c r="E7" s="226"/>
      <c r="F7" s="226"/>
      <c r="G7" s="226"/>
      <c r="H7" s="226"/>
      <c r="I7" s="226"/>
      <c r="J7" s="226"/>
      <c r="K7" s="226"/>
      <c r="L7" s="226"/>
    </row>
    <row r="8" spans="1:15" x14ac:dyDescent="0.2">
      <c r="C8" s="31"/>
      <c r="D8" s="31"/>
      <c r="E8" s="31"/>
      <c r="F8" s="31"/>
      <c r="G8" s="31"/>
      <c r="H8" s="31"/>
      <c r="I8" s="31"/>
      <c r="J8" s="31"/>
      <c r="K8" s="31"/>
      <c r="L8" s="31"/>
      <c r="M8" s="31"/>
      <c r="N8" s="31"/>
      <c r="O8" s="1"/>
    </row>
    <row r="9" spans="1:15" ht="120" customHeight="1" x14ac:dyDescent="0.2">
      <c r="C9" s="31"/>
      <c r="D9" s="31"/>
      <c r="E9" s="31"/>
      <c r="F9" s="31"/>
      <c r="G9" s="31"/>
      <c r="H9" s="31"/>
      <c r="I9" s="31"/>
      <c r="J9" s="31"/>
      <c r="K9" s="31"/>
      <c r="L9" s="31"/>
      <c r="M9" s="31"/>
      <c r="N9" s="31"/>
      <c r="O9" s="1"/>
    </row>
    <row r="10" spans="1:15" ht="26" x14ac:dyDescent="0.3">
      <c r="C10" s="227" t="s">
        <v>324</v>
      </c>
      <c r="D10" s="227"/>
      <c r="E10" s="227"/>
      <c r="F10" s="227"/>
      <c r="G10" s="227"/>
      <c r="H10" s="227"/>
      <c r="I10" s="227"/>
      <c r="J10" s="227"/>
      <c r="K10" s="227"/>
      <c r="L10" s="227"/>
      <c r="M10" s="227"/>
      <c r="N10" s="91"/>
      <c r="O10" s="3"/>
    </row>
    <row r="11" spans="1:15" ht="26" x14ac:dyDescent="0.2">
      <c r="C11" s="222" t="s">
        <v>480</v>
      </c>
      <c r="D11" s="222"/>
      <c r="E11" s="222"/>
      <c r="F11" s="222"/>
      <c r="G11" s="222"/>
      <c r="H11" s="222"/>
      <c r="I11" s="222"/>
      <c r="J11" s="222"/>
      <c r="K11" s="222"/>
      <c r="L11" s="222"/>
      <c r="M11" s="222"/>
      <c r="N11" s="31"/>
      <c r="O11" s="1"/>
    </row>
    <row r="12" spans="1:15" ht="26" x14ac:dyDescent="0.2">
      <c r="C12" s="222" t="s">
        <v>395</v>
      </c>
      <c r="D12" s="222"/>
      <c r="E12" s="222"/>
      <c r="F12" s="222"/>
      <c r="G12" s="222"/>
      <c r="H12" s="222"/>
      <c r="I12" s="222"/>
      <c r="J12" s="222"/>
      <c r="K12" s="222"/>
      <c r="L12" s="222"/>
      <c r="M12" s="222"/>
      <c r="N12" s="31"/>
      <c r="O12" s="1"/>
    </row>
    <row r="13" spans="1:15" ht="26" x14ac:dyDescent="0.2">
      <c r="C13" s="222" t="s">
        <v>456</v>
      </c>
      <c r="D13" s="222"/>
      <c r="E13" s="222"/>
      <c r="F13" s="222"/>
      <c r="G13" s="222"/>
      <c r="H13" s="222"/>
      <c r="I13" s="222"/>
      <c r="J13" s="222"/>
      <c r="K13" s="222"/>
      <c r="L13" s="222"/>
      <c r="M13" s="222"/>
      <c r="N13" s="31"/>
      <c r="O13" s="1"/>
    </row>
    <row r="14" spans="1:15" ht="29" x14ac:dyDescent="0.35">
      <c r="A14" s="68"/>
      <c r="B14" s="69"/>
      <c r="C14" s="70"/>
      <c r="D14" s="71"/>
      <c r="E14" s="71"/>
      <c r="F14" s="71"/>
      <c r="G14" s="71"/>
      <c r="H14" s="71"/>
      <c r="I14" s="71"/>
      <c r="J14" s="71"/>
      <c r="K14" s="71"/>
      <c r="L14" s="71"/>
      <c r="M14" s="70"/>
      <c r="N14" s="70"/>
      <c r="O14" s="72"/>
    </row>
    <row r="15" spans="1:15" ht="29" x14ac:dyDescent="0.35">
      <c r="A15" s="68"/>
      <c r="B15" s="69"/>
      <c r="C15" s="70"/>
      <c r="D15" s="70"/>
      <c r="E15" s="70"/>
      <c r="F15" s="70"/>
      <c r="G15" s="70"/>
      <c r="H15" s="70"/>
      <c r="I15" s="70"/>
      <c r="J15" s="70"/>
      <c r="K15" s="70"/>
      <c r="L15" s="70"/>
      <c r="M15" s="70"/>
      <c r="N15" s="70"/>
      <c r="O15" s="72"/>
    </row>
    <row r="16" spans="1:15" ht="30" x14ac:dyDescent="0.35">
      <c r="A16" s="68"/>
      <c r="B16" s="70" t="s">
        <v>326</v>
      </c>
      <c r="C16" s="223">
        <f>'Full Estimate'!C17</f>
        <v>0</v>
      </c>
      <c r="D16" s="223"/>
      <c r="E16" s="223"/>
      <c r="F16" s="70"/>
      <c r="G16" s="70"/>
      <c r="H16" s="70"/>
      <c r="I16" s="70"/>
      <c r="J16" s="70"/>
      <c r="K16" s="70" t="s">
        <v>335</v>
      </c>
      <c r="L16" s="260">
        <f>'Full Estimate'!L17</f>
        <v>0</v>
      </c>
      <c r="M16" s="260"/>
      <c r="N16" s="260"/>
      <c r="O16" s="72"/>
    </row>
    <row r="17" spans="1:15" ht="29" x14ac:dyDescent="0.35">
      <c r="A17" s="68"/>
      <c r="B17" s="69"/>
      <c r="C17" s="70"/>
      <c r="D17" s="70"/>
      <c r="E17" s="70"/>
      <c r="F17" s="70"/>
      <c r="G17" s="70"/>
      <c r="H17" s="70"/>
      <c r="I17" s="70"/>
      <c r="J17" s="70"/>
      <c r="K17" s="70"/>
      <c r="L17" s="70"/>
      <c r="M17" s="70"/>
      <c r="N17" s="70"/>
      <c r="O17" s="72"/>
    </row>
    <row r="18" spans="1:15" ht="29" x14ac:dyDescent="0.35">
      <c r="A18" s="68"/>
      <c r="B18" s="69"/>
      <c r="C18" s="70"/>
      <c r="D18" s="70"/>
      <c r="E18" s="70"/>
      <c r="F18" s="70"/>
      <c r="G18" s="70"/>
      <c r="H18" s="70"/>
      <c r="I18" s="70"/>
      <c r="J18" s="70"/>
      <c r="K18" s="70"/>
      <c r="L18" s="70"/>
      <c r="M18" s="70"/>
      <c r="N18" s="70"/>
      <c r="O18" s="72"/>
    </row>
    <row r="19" spans="1:15" ht="29" x14ac:dyDescent="0.35">
      <c r="A19" s="68"/>
      <c r="B19" s="223" t="s">
        <v>327</v>
      </c>
      <c r="C19" s="223"/>
      <c r="D19" s="223"/>
      <c r="E19" s="223"/>
      <c r="F19" s="223"/>
      <c r="G19" s="223"/>
      <c r="H19" s="223"/>
      <c r="I19" s="223"/>
      <c r="J19" s="223"/>
      <c r="K19" s="223"/>
      <c r="L19" s="223"/>
      <c r="M19" s="223"/>
      <c r="N19" s="223"/>
      <c r="O19" s="72"/>
    </row>
    <row r="20" spans="1:15" ht="29" x14ac:dyDescent="0.35">
      <c r="A20" s="68"/>
      <c r="B20" s="223"/>
      <c r="C20" s="223"/>
      <c r="D20" s="223"/>
      <c r="E20" s="223"/>
      <c r="F20" s="223"/>
      <c r="G20" s="223"/>
      <c r="H20" s="223"/>
      <c r="I20" s="223"/>
      <c r="J20" s="223"/>
      <c r="K20" s="223"/>
      <c r="L20" s="223"/>
      <c r="M20" s="223"/>
      <c r="N20" s="223"/>
      <c r="O20" s="72"/>
    </row>
    <row r="21" spans="1:15" ht="29" x14ac:dyDescent="0.35">
      <c r="A21" s="68"/>
      <c r="B21" s="69"/>
      <c r="C21" s="73"/>
      <c r="D21" s="73"/>
      <c r="E21" s="73"/>
      <c r="F21" s="73"/>
      <c r="G21" s="73"/>
      <c r="H21" s="73"/>
      <c r="I21" s="73"/>
      <c r="J21" s="73"/>
      <c r="K21" s="73"/>
      <c r="L21" s="73"/>
      <c r="M21" s="73"/>
      <c r="N21" s="74"/>
      <c r="O21" s="68"/>
    </row>
    <row r="22" spans="1:15" ht="29" x14ac:dyDescent="0.35">
      <c r="A22" s="68"/>
      <c r="B22" s="224" t="s">
        <v>459</v>
      </c>
      <c r="C22" s="224"/>
      <c r="D22" s="224"/>
      <c r="E22" s="224"/>
      <c r="F22" s="224"/>
      <c r="G22" s="224"/>
      <c r="H22" s="224"/>
      <c r="I22" s="224"/>
      <c r="J22" s="224"/>
      <c r="K22" s="224"/>
      <c r="L22" s="224"/>
      <c r="M22" s="224"/>
      <c r="N22" s="224"/>
      <c r="O22" s="68"/>
    </row>
    <row r="23" spans="1:15" ht="29" x14ac:dyDescent="0.35">
      <c r="A23" s="68"/>
      <c r="B23" s="224"/>
      <c r="C23" s="224"/>
      <c r="D23" s="224"/>
      <c r="E23" s="224"/>
      <c r="F23" s="224"/>
      <c r="G23" s="224"/>
      <c r="H23" s="224"/>
      <c r="I23" s="224"/>
      <c r="J23" s="224"/>
      <c r="K23" s="224"/>
      <c r="L23" s="224"/>
      <c r="M23" s="224"/>
      <c r="N23" s="224"/>
      <c r="O23" s="68"/>
    </row>
    <row r="24" spans="1:15" ht="29" x14ac:dyDescent="0.35">
      <c r="A24" s="68"/>
      <c r="B24" s="69"/>
      <c r="C24" s="70"/>
      <c r="D24" s="70"/>
      <c r="E24" s="70"/>
      <c r="F24" s="70"/>
      <c r="G24" s="70"/>
      <c r="H24" s="70"/>
      <c r="I24" s="70"/>
      <c r="J24" s="70"/>
      <c r="K24" s="70"/>
      <c r="L24" s="70"/>
      <c r="M24" s="74"/>
      <c r="N24" s="74"/>
      <c r="O24" s="68"/>
    </row>
    <row r="25" spans="1:15" ht="29" x14ac:dyDescent="0.35">
      <c r="A25" s="68"/>
      <c r="B25" s="225" t="s">
        <v>329</v>
      </c>
      <c r="C25" s="225"/>
      <c r="D25" s="225"/>
      <c r="E25" s="225"/>
      <c r="F25" s="228"/>
      <c r="G25" s="228"/>
      <c r="H25" s="228"/>
      <c r="I25" s="228"/>
      <c r="J25" s="228"/>
      <c r="K25" s="228"/>
      <c r="L25" s="70"/>
      <c r="M25" s="74"/>
      <c r="N25" s="74"/>
      <c r="O25" s="68"/>
    </row>
    <row r="26" spans="1:15" ht="29" x14ac:dyDescent="0.35">
      <c r="A26" s="68"/>
      <c r="B26" s="229"/>
      <c r="C26" s="230"/>
      <c r="D26" s="230"/>
      <c r="E26" s="230"/>
      <c r="F26" s="230"/>
      <c r="G26" s="230"/>
      <c r="H26" s="230"/>
      <c r="I26" s="230"/>
      <c r="J26" s="230"/>
      <c r="K26" s="230"/>
      <c r="L26" s="230"/>
      <c r="M26" s="230"/>
      <c r="N26" s="231"/>
      <c r="O26" s="68"/>
    </row>
    <row r="27" spans="1:15" ht="29" x14ac:dyDescent="0.35">
      <c r="A27" s="68"/>
      <c r="B27" s="232"/>
      <c r="C27" s="233"/>
      <c r="D27" s="233"/>
      <c r="E27" s="233"/>
      <c r="F27" s="233"/>
      <c r="G27" s="233"/>
      <c r="H27" s="233"/>
      <c r="I27" s="233"/>
      <c r="J27" s="233"/>
      <c r="K27" s="233"/>
      <c r="L27" s="233"/>
      <c r="M27" s="233"/>
      <c r="N27" s="234"/>
      <c r="O27" s="68"/>
    </row>
    <row r="28" spans="1:15" ht="29" x14ac:dyDescent="0.35">
      <c r="A28" s="68"/>
      <c r="B28" s="92"/>
      <c r="C28" s="92"/>
      <c r="D28" s="92"/>
      <c r="E28" s="92"/>
      <c r="F28" s="92"/>
      <c r="G28" s="92"/>
      <c r="H28" s="92"/>
      <c r="I28" s="92"/>
      <c r="J28" s="92"/>
      <c r="K28" s="92"/>
      <c r="L28" s="92"/>
      <c r="M28" s="92"/>
      <c r="N28" s="92"/>
      <c r="O28" s="68"/>
    </row>
    <row r="29" spans="1:15" ht="29" x14ac:dyDescent="0.35">
      <c r="A29" s="68"/>
      <c r="B29" s="235" t="s">
        <v>385</v>
      </c>
      <c r="C29" s="235"/>
      <c r="D29" s="235"/>
      <c r="E29" s="235"/>
      <c r="F29" s="235" t="s">
        <v>386</v>
      </c>
      <c r="G29" s="235"/>
      <c r="H29" s="235"/>
      <c r="I29" s="235"/>
      <c r="J29" s="235"/>
      <c r="K29" s="93"/>
      <c r="L29" s="235" t="s">
        <v>387</v>
      </c>
      <c r="M29" s="235"/>
      <c r="N29" s="235"/>
      <c r="O29" s="68"/>
    </row>
    <row r="30" spans="1:15" ht="29" x14ac:dyDescent="0.35">
      <c r="A30" s="68"/>
      <c r="B30" s="92"/>
      <c r="C30" s="212" t="s">
        <v>388</v>
      </c>
      <c r="D30" s="212"/>
      <c r="E30" s="94"/>
      <c r="F30" s="212"/>
      <c r="G30" s="212"/>
      <c r="H30" s="212"/>
      <c r="I30" s="212"/>
      <c r="J30" s="212"/>
      <c r="K30" s="212"/>
      <c r="L30" s="212"/>
      <c r="M30" s="212"/>
      <c r="N30" s="212"/>
      <c r="O30" s="68"/>
    </row>
    <row r="31" spans="1:15" ht="29" x14ac:dyDescent="0.35">
      <c r="A31" s="68"/>
      <c r="B31" s="92"/>
      <c r="C31" s="212" t="s">
        <v>389</v>
      </c>
      <c r="D31" s="212"/>
      <c r="E31" s="94"/>
      <c r="F31" s="212"/>
      <c r="G31" s="212"/>
      <c r="H31" s="212"/>
      <c r="I31" s="212"/>
      <c r="J31" s="212"/>
      <c r="K31" s="212"/>
      <c r="L31" s="212"/>
      <c r="M31" s="212"/>
      <c r="N31" s="212"/>
      <c r="O31" s="68"/>
    </row>
    <row r="32" spans="1:15" ht="29" x14ac:dyDescent="0.35">
      <c r="A32" s="68"/>
      <c r="B32" s="92"/>
      <c r="C32" s="212" t="s">
        <v>391</v>
      </c>
      <c r="D32" s="212"/>
      <c r="E32" s="94"/>
      <c r="F32" s="212"/>
      <c r="G32" s="212"/>
      <c r="H32" s="212"/>
      <c r="I32" s="212"/>
      <c r="J32" s="212"/>
      <c r="K32" s="212"/>
      <c r="L32" s="212"/>
      <c r="M32" s="212"/>
      <c r="N32" s="212"/>
      <c r="O32" s="68"/>
    </row>
    <row r="33" spans="1:15" ht="29" x14ac:dyDescent="0.35">
      <c r="A33" s="68"/>
      <c r="B33" s="92"/>
      <c r="C33" s="212" t="s">
        <v>390</v>
      </c>
      <c r="D33" s="212"/>
      <c r="E33" s="94"/>
      <c r="F33" s="212"/>
      <c r="G33" s="212"/>
      <c r="H33" s="212"/>
      <c r="I33" s="212"/>
      <c r="J33" s="212"/>
      <c r="K33" s="212"/>
      <c r="L33" s="212"/>
      <c r="M33" s="212"/>
      <c r="N33" s="212"/>
      <c r="O33" s="68"/>
    </row>
    <row r="34" spans="1:15" ht="29" x14ac:dyDescent="0.35">
      <c r="A34" s="68"/>
      <c r="B34" s="92"/>
      <c r="C34" s="212" t="s">
        <v>453</v>
      </c>
      <c r="D34" s="212"/>
      <c r="E34" s="94"/>
      <c r="F34" s="212"/>
      <c r="G34" s="212"/>
      <c r="H34" s="212"/>
      <c r="I34" s="212"/>
      <c r="J34" s="212"/>
      <c r="K34" s="212"/>
      <c r="L34" s="212"/>
      <c r="M34" s="212"/>
      <c r="N34" s="212"/>
      <c r="O34" s="68"/>
    </row>
    <row r="35" spans="1:15" ht="29" x14ac:dyDescent="0.35">
      <c r="A35" s="68"/>
      <c r="B35" s="92"/>
      <c r="C35" s="212" t="s">
        <v>454</v>
      </c>
      <c r="D35" s="212"/>
      <c r="E35" s="94"/>
      <c r="F35" s="212"/>
      <c r="G35" s="212"/>
      <c r="H35" s="212"/>
      <c r="I35" s="212"/>
      <c r="J35" s="212"/>
      <c r="K35" s="212"/>
      <c r="L35" s="212"/>
      <c r="M35" s="212"/>
      <c r="N35" s="212"/>
      <c r="O35" s="68"/>
    </row>
    <row r="36" spans="1:15" ht="29" x14ac:dyDescent="0.35">
      <c r="A36" s="68"/>
      <c r="B36" s="92"/>
      <c r="C36" s="212" t="s">
        <v>455</v>
      </c>
      <c r="D36" s="212"/>
      <c r="E36" s="94"/>
      <c r="F36" s="212"/>
      <c r="G36" s="212"/>
      <c r="H36" s="212"/>
      <c r="I36" s="212"/>
      <c r="J36" s="212"/>
      <c r="K36" s="212"/>
      <c r="L36" s="212"/>
      <c r="M36" s="212"/>
      <c r="N36" s="212"/>
      <c r="O36" s="68"/>
    </row>
    <row r="37" spans="1:15" ht="29" x14ac:dyDescent="0.35">
      <c r="A37" s="68"/>
      <c r="B37" s="92"/>
      <c r="C37" s="92"/>
      <c r="D37" s="92"/>
      <c r="E37" s="92"/>
      <c r="F37" s="92"/>
      <c r="G37" s="92"/>
      <c r="H37" s="92"/>
      <c r="I37" s="92"/>
      <c r="J37" s="92"/>
      <c r="K37" s="92"/>
      <c r="L37" s="92"/>
      <c r="M37" s="92"/>
      <c r="N37" s="92"/>
      <c r="O37" s="68"/>
    </row>
    <row r="38" spans="1:15" ht="29" x14ac:dyDescent="0.35">
      <c r="A38" s="68"/>
      <c r="B38" s="238" t="s">
        <v>328</v>
      </c>
      <c r="C38" s="238"/>
      <c r="D38" s="238"/>
      <c r="E38" s="238"/>
      <c r="F38" s="238"/>
      <c r="G38" s="238"/>
      <c r="H38" s="238"/>
      <c r="I38" s="238"/>
      <c r="J38" s="238"/>
      <c r="K38" s="238"/>
      <c r="L38" s="238"/>
      <c r="M38" s="74"/>
      <c r="N38" s="74"/>
      <c r="O38" s="68"/>
    </row>
    <row r="39" spans="1:15" ht="17" thickBot="1" x14ac:dyDescent="0.25">
      <c r="C39" s="30"/>
    </row>
    <row r="40" spans="1:15" ht="30" thickBot="1" x14ac:dyDescent="0.4">
      <c r="A40" s="35"/>
      <c r="B40" s="243" t="s">
        <v>357</v>
      </c>
      <c r="C40" s="243"/>
      <c r="D40" s="243"/>
      <c r="E40" s="243"/>
      <c r="F40" s="243"/>
      <c r="G40" s="243"/>
      <c r="H40" s="243"/>
      <c r="I40" s="243"/>
      <c r="J40" s="243"/>
      <c r="K40" s="55"/>
      <c r="L40" s="244" t="e">
        <f>M66</f>
        <v>#N/A</v>
      </c>
      <c r="M40" s="245"/>
      <c r="N40" s="246"/>
      <c r="O40" s="35"/>
    </row>
    <row r="41" spans="1:15" ht="26" x14ac:dyDescent="0.3">
      <c r="A41" s="35"/>
      <c r="B41" s="33"/>
      <c r="C41" s="49"/>
      <c r="D41" s="49"/>
      <c r="E41" s="49"/>
      <c r="F41" s="49"/>
      <c r="G41" s="49"/>
      <c r="H41" s="50"/>
      <c r="I41" s="50"/>
      <c r="J41" s="48"/>
      <c r="K41" s="50"/>
      <c r="L41" s="48"/>
      <c r="M41" s="48"/>
      <c r="N41" s="34"/>
      <c r="O41" s="35"/>
    </row>
    <row r="42" spans="1:15" ht="22" thickBot="1" x14ac:dyDescent="0.3">
      <c r="A42" s="35"/>
      <c r="B42" s="33"/>
      <c r="C42" s="28"/>
      <c r="D42" s="28"/>
      <c r="E42" s="28"/>
      <c r="F42" s="28"/>
      <c r="G42" s="28"/>
      <c r="H42" s="33"/>
      <c r="I42" s="33"/>
      <c r="J42" s="34"/>
      <c r="K42" s="33"/>
      <c r="L42" s="34"/>
      <c r="M42" s="34"/>
      <c r="N42" s="34"/>
      <c r="O42" s="35"/>
    </row>
    <row r="43" spans="1:15" ht="46" x14ac:dyDescent="0.4">
      <c r="A43" s="119"/>
      <c r="B43" s="119"/>
      <c r="C43" s="162"/>
      <c r="D43" s="121" t="s">
        <v>0</v>
      </c>
      <c r="E43" s="249" t="s">
        <v>1</v>
      </c>
      <c r="F43" s="249"/>
      <c r="G43" s="122"/>
      <c r="H43" s="122" t="s">
        <v>31</v>
      </c>
      <c r="I43" s="122" t="s">
        <v>396</v>
      </c>
      <c r="J43" s="122" t="s">
        <v>7</v>
      </c>
      <c r="K43" s="123" t="s">
        <v>4</v>
      </c>
      <c r="L43" s="122" t="s">
        <v>5</v>
      </c>
      <c r="M43" s="123" t="s">
        <v>6</v>
      </c>
      <c r="N43" s="124"/>
      <c r="O43" s="120"/>
    </row>
    <row r="44" spans="1:15" ht="25" x14ac:dyDescent="0.3">
      <c r="A44" s="53"/>
      <c r="B44" s="53"/>
      <c r="C44" s="125"/>
      <c r="D44" s="109">
        <v>8109</v>
      </c>
      <c r="E44" s="215" t="str">
        <f>VLOOKUP($D44,Table1[#All],2,FALSE)</f>
        <v>Infection control per visit</v>
      </c>
      <c r="F44" s="215"/>
      <c r="G44" s="215"/>
      <c r="H44" s="110" t="str">
        <f>VLOOKUP($D44,Table1[#All],3,FALSE)</f>
        <v>IZ01.2</v>
      </c>
      <c r="I44" s="110"/>
      <c r="J44" s="111"/>
      <c r="K44" s="112">
        <f>VLOOKUP($D44,Table1[#All],4,FALSE)</f>
        <v>177</v>
      </c>
      <c r="L44" s="113"/>
      <c r="M44" s="114">
        <f t="shared" ref="M44" si="0">+K44*L44</f>
        <v>0</v>
      </c>
      <c r="N44" s="126"/>
      <c r="O44" s="52"/>
    </row>
    <row r="45" spans="1:15" ht="25" x14ac:dyDescent="0.3">
      <c r="A45" s="53"/>
      <c r="B45" s="53"/>
      <c r="C45" s="125"/>
      <c r="D45" s="109">
        <v>8110</v>
      </c>
      <c r="E45" s="215" t="str">
        <f>VLOOKUP($D45,Table1[#All],2,FALSE)</f>
        <v>Sterilized instruments</v>
      </c>
      <c r="F45" s="215"/>
      <c r="G45" s="215"/>
      <c r="H45" s="110" t="str">
        <f>VLOOKUP($D45,Table1[#All],3,FALSE)</f>
        <v>IZ01.2</v>
      </c>
      <c r="I45" s="110"/>
      <c r="J45" s="111"/>
      <c r="K45" s="112">
        <f>VLOOKUP($D45,Table1[#All],4,FALSE)</f>
        <v>172</v>
      </c>
      <c r="L45" s="113"/>
      <c r="M45" s="114">
        <f>+K45*L45</f>
        <v>0</v>
      </c>
      <c r="N45" s="126"/>
      <c r="O45" s="52"/>
    </row>
    <row r="46" spans="1:15" ht="25" x14ac:dyDescent="0.3">
      <c r="A46" s="53"/>
      <c r="B46" s="53"/>
      <c r="C46" s="125"/>
      <c r="D46" s="109">
        <v>8273</v>
      </c>
      <c r="E46" s="215" t="str">
        <f>VLOOKUP($D46,Table1[#All],2,FALSE)</f>
        <v>Impression to repair or modify denture</v>
      </c>
      <c r="F46" s="215"/>
      <c r="G46" s="215"/>
      <c r="H46" s="110" t="str">
        <f>VLOOKUP($D46,Table1[#All],3,FALSE)</f>
        <v>IK08.1</v>
      </c>
      <c r="I46" s="110"/>
      <c r="J46" s="111"/>
      <c r="K46" s="112">
        <f>VLOOKUP($D46,Table1[#All],4,FALSE)</f>
        <v>881</v>
      </c>
      <c r="L46" s="113"/>
      <c r="M46" s="114">
        <f>+K46*L46</f>
        <v>0</v>
      </c>
      <c r="N46" s="126"/>
      <c r="O46" s="52"/>
    </row>
    <row r="47" spans="1:15" ht="25" x14ac:dyDescent="0.3">
      <c r="A47" s="53"/>
      <c r="B47" s="53"/>
      <c r="C47" s="125"/>
      <c r="D47" s="109">
        <v>8121</v>
      </c>
      <c r="E47" s="215" t="str">
        <f>VLOOKUP($D47,Table1[#All],2,FALSE)</f>
        <v>Oral and/or facial images (digital)</v>
      </c>
      <c r="F47" s="215"/>
      <c r="G47" s="215"/>
      <c r="H47" s="110" t="str">
        <f>VLOOKUP($D47,Table1[#All],3,FALSE)</f>
        <v>IZ01.2</v>
      </c>
      <c r="I47" s="110"/>
      <c r="J47" s="111"/>
      <c r="K47" s="112">
        <f>VLOOKUP($D47,Table1[#All],4,FALSE)</f>
        <v>992</v>
      </c>
      <c r="L47" s="113"/>
      <c r="M47" s="114">
        <f t="shared" ref="M47:M64" si="1">+K47*L47</f>
        <v>0</v>
      </c>
      <c r="N47" s="127"/>
      <c r="O47" s="52"/>
    </row>
    <row r="48" spans="1:15" ht="25" x14ac:dyDescent="0.3">
      <c r="A48" s="53"/>
      <c r="B48" s="53"/>
      <c r="C48" s="125"/>
      <c r="D48" s="109">
        <v>8120</v>
      </c>
      <c r="E48" s="215" t="str">
        <f>VLOOKUP($D48,Table1[#All],2,FALSE)</f>
        <v>3D Digital Smile Design, mockup and treatment planning</v>
      </c>
      <c r="F48" s="215"/>
      <c r="G48" s="215"/>
      <c r="H48" s="110" t="str">
        <f>VLOOKUP($D48,Table1[#All],3,FALSE)</f>
        <v>IZ01.2</v>
      </c>
      <c r="I48" s="110"/>
      <c r="J48" s="111"/>
      <c r="K48" s="112">
        <f>VLOOKUP($D48,Table1[#All],4,FALSE)</f>
        <v>1618</v>
      </c>
      <c r="L48" s="113"/>
      <c r="M48" s="114">
        <f t="shared" si="1"/>
        <v>0</v>
      </c>
      <c r="N48" s="126"/>
      <c r="O48" s="52"/>
    </row>
    <row r="49" spans="1:17" ht="25" x14ac:dyDescent="0.3">
      <c r="A49" s="53"/>
      <c r="B49" s="53"/>
      <c r="C49" s="125"/>
      <c r="D49" s="109" t="s">
        <v>547</v>
      </c>
      <c r="E49" s="215" t="str">
        <f>VLOOKUP($D49,Table1[#All],2,FALSE)</f>
        <v>Interpretation of CBCT Single Tooth</v>
      </c>
      <c r="F49" s="215"/>
      <c r="G49" s="215"/>
      <c r="H49" s="110" t="str">
        <f>VLOOKUP($D49,Table1[#All],3,FALSE)</f>
        <v>IZ01.2</v>
      </c>
      <c r="I49" s="110"/>
      <c r="J49" s="111"/>
      <c r="K49" s="112">
        <f>VLOOKUP($D49,Table1[#All],4,FALSE)</f>
        <v>887</v>
      </c>
      <c r="L49" s="113"/>
      <c r="M49" s="114">
        <f t="shared" si="1"/>
        <v>0</v>
      </c>
      <c r="N49" s="126"/>
      <c r="O49" s="52"/>
    </row>
    <row r="50" spans="1:17" ht="25" x14ac:dyDescent="0.3">
      <c r="A50" s="53"/>
      <c r="B50" s="53"/>
      <c r="C50" s="125"/>
      <c r="D50" s="109" t="s">
        <v>548</v>
      </c>
      <c r="E50" s="215" t="str">
        <f>VLOOKUP($D50,Table1[#All],2,FALSE)</f>
        <v>Interpretation of CBCT Quadrant</v>
      </c>
      <c r="F50" s="215"/>
      <c r="G50" s="215"/>
      <c r="H50" s="110" t="str">
        <f>VLOOKUP($D50,Table1[#All],3,FALSE)</f>
        <v>IZ01.2</v>
      </c>
      <c r="I50" s="110"/>
      <c r="J50" s="111"/>
      <c r="K50" s="112">
        <f>VLOOKUP($D50,Table1[#All],4,FALSE)</f>
        <v>932</v>
      </c>
      <c r="L50" s="113"/>
      <c r="M50" s="114">
        <f t="shared" si="1"/>
        <v>0</v>
      </c>
      <c r="N50" s="126"/>
      <c r="O50" s="52"/>
    </row>
    <row r="51" spans="1:17" ht="25" x14ac:dyDescent="0.3">
      <c r="A51" s="53"/>
      <c r="B51" s="53"/>
      <c r="C51" s="125"/>
      <c r="D51" s="109" t="s">
        <v>549</v>
      </c>
      <c r="E51" s="215" t="str">
        <f>VLOOKUP($D51,Table1[#All],2,FALSE)</f>
        <v>Interpretation of CBCT Single Jaw</v>
      </c>
      <c r="F51" s="215"/>
      <c r="G51" s="215"/>
      <c r="H51" s="110" t="str">
        <f>VLOOKUP($D51,Table1[#All],3,FALSE)</f>
        <v>IZ01.2</v>
      </c>
      <c r="I51" s="110"/>
      <c r="J51" s="111"/>
      <c r="K51" s="112">
        <f>VLOOKUP($D51,Table1[#All],4,FALSE)</f>
        <v>1341</v>
      </c>
      <c r="L51" s="113"/>
      <c r="M51" s="114">
        <f t="shared" si="1"/>
        <v>0</v>
      </c>
      <c r="N51" s="126"/>
      <c r="O51" s="52"/>
    </row>
    <row r="52" spans="1:17" ht="25" x14ac:dyDescent="0.3">
      <c r="A52" s="53"/>
      <c r="B52" s="53"/>
      <c r="C52" s="125"/>
      <c r="D52" s="109" t="s">
        <v>550</v>
      </c>
      <c r="E52" s="215" t="str">
        <f>VLOOKUP($D52,Table1[#All],2,FALSE)</f>
        <v>Interpretation of CBCT Upper and Lower Jaw</v>
      </c>
      <c r="F52" s="215"/>
      <c r="G52" s="215"/>
      <c r="H52" s="110" t="str">
        <f>VLOOKUP($D52,Table1[#All],3,FALSE)</f>
        <v>IZ01.2</v>
      </c>
      <c r="I52" s="110"/>
      <c r="J52" s="111"/>
      <c r="K52" s="112">
        <f>VLOOKUP($D52,Table1[#All],4,FALSE)</f>
        <v>1795</v>
      </c>
      <c r="L52" s="113"/>
      <c r="M52" s="114">
        <f t="shared" si="1"/>
        <v>0</v>
      </c>
      <c r="N52" s="126"/>
      <c r="O52" s="52"/>
      <c r="Q52" s="109"/>
    </row>
    <row r="53" spans="1:17" ht="25" x14ac:dyDescent="0.3">
      <c r="A53" s="53"/>
      <c r="B53" s="53"/>
      <c r="C53" s="125"/>
      <c r="D53" s="109" t="s">
        <v>551</v>
      </c>
      <c r="E53" s="215" t="str">
        <f>VLOOKUP($D53,Table1[#All],2,FALSE)</f>
        <v>Interpretation of CBCT Full head</v>
      </c>
      <c r="F53" s="215"/>
      <c r="G53" s="215"/>
      <c r="H53" s="110" t="str">
        <f>VLOOKUP($D53,Table1[#All],3,FALSE)</f>
        <v>IZ01.2</v>
      </c>
      <c r="I53" s="110"/>
      <c r="J53" s="111"/>
      <c r="K53" s="112">
        <f>VLOOKUP($D53,Table1[#All],4,FALSE)</f>
        <v>1795</v>
      </c>
      <c r="L53" s="113"/>
      <c r="M53" s="114">
        <f t="shared" si="1"/>
        <v>0</v>
      </c>
      <c r="N53" s="126"/>
      <c r="O53" s="52"/>
      <c r="Q53" s="109"/>
    </row>
    <row r="54" spans="1:17" ht="24" x14ac:dyDescent="0.3">
      <c r="A54" s="145"/>
      <c r="B54" s="145"/>
      <c r="C54" s="155"/>
      <c r="D54" s="154"/>
      <c r="E54" s="172" t="s">
        <v>492</v>
      </c>
      <c r="F54" s="172"/>
      <c r="G54" s="172"/>
      <c r="H54" s="156"/>
      <c r="I54" s="156"/>
      <c r="J54" s="157"/>
      <c r="K54" s="158"/>
      <c r="L54" s="159"/>
      <c r="M54" s="160">
        <f>SUM(M44:M53)-(SUM(M44:M53)*0.95)</f>
        <v>0</v>
      </c>
      <c r="N54" s="161"/>
      <c r="O54" s="153"/>
      <c r="Q54" s="109"/>
    </row>
    <row r="55" spans="1:17" ht="24" x14ac:dyDescent="0.3">
      <c r="A55" s="145"/>
      <c r="B55" s="145"/>
      <c r="C55" s="155"/>
      <c r="D55" s="154"/>
      <c r="E55" s="172" t="s">
        <v>493</v>
      </c>
      <c r="F55" s="172"/>
      <c r="G55" s="172"/>
      <c r="H55" s="156"/>
      <c r="I55" s="156"/>
      <c r="J55" s="157"/>
      <c r="K55" s="158"/>
      <c r="L55" s="159"/>
      <c r="M55" s="160">
        <f>SUM(M44:M53)-(SUM(M44:M53)*0.9)</f>
        <v>0</v>
      </c>
      <c r="N55" s="161"/>
      <c r="O55" s="153"/>
      <c r="Q55" s="109"/>
    </row>
    <row r="56" spans="1:17" ht="25" thickBot="1" x14ac:dyDescent="0.35">
      <c r="A56" s="145"/>
      <c r="B56" s="145"/>
      <c r="C56" s="146"/>
      <c r="D56" s="147"/>
      <c r="E56" s="248" t="s">
        <v>494</v>
      </c>
      <c r="F56" s="248"/>
      <c r="G56" s="248"/>
      <c r="H56" s="148"/>
      <c r="I56" s="148"/>
      <c r="J56" s="149"/>
      <c r="K56" s="150"/>
      <c r="L56" s="151"/>
      <c r="M56" s="160">
        <f>SUM(M44:M53)-(SUM(M44:M53)*0.85)</f>
        <v>0</v>
      </c>
      <c r="N56" s="152"/>
      <c r="O56" s="153"/>
      <c r="Q56" s="109"/>
    </row>
    <row r="57" spans="1:17" ht="29" customHeight="1" thickBot="1" x14ac:dyDescent="0.3">
      <c r="A57" s="142"/>
      <c r="B57" s="142"/>
      <c r="C57" s="258" t="s">
        <v>496</v>
      </c>
      <c r="D57" s="258"/>
      <c r="E57" s="258"/>
      <c r="F57" s="258"/>
      <c r="G57" s="241" t="s">
        <v>460</v>
      </c>
      <c r="H57" s="241"/>
      <c r="I57" s="241"/>
      <c r="J57" s="241"/>
      <c r="K57" s="241"/>
      <c r="L57" s="241"/>
      <c r="M57" s="171">
        <f>SUM(M44:M56)</f>
        <v>0</v>
      </c>
      <c r="N57" s="143"/>
      <c r="O57" s="144"/>
      <c r="Q57" s="109"/>
    </row>
    <row r="58" spans="1:17" ht="32" customHeight="1" x14ac:dyDescent="0.3">
      <c r="A58" s="53"/>
      <c r="B58" s="53"/>
      <c r="C58" s="259" t="s">
        <v>495</v>
      </c>
      <c r="D58" s="259"/>
      <c r="E58" s="259"/>
      <c r="F58" s="259"/>
      <c r="G58" s="259"/>
      <c r="H58" s="259"/>
      <c r="I58" s="259"/>
      <c r="J58" s="259"/>
      <c r="K58" s="259"/>
      <c r="L58" s="259"/>
      <c r="M58" s="259"/>
      <c r="N58" s="115"/>
      <c r="O58" s="52"/>
      <c r="Q58" s="109"/>
    </row>
    <row r="59" spans="1:17" ht="25" thickBot="1" x14ac:dyDescent="0.35">
      <c r="A59" s="53"/>
      <c r="B59" s="53"/>
      <c r="C59" s="239" t="s">
        <v>467</v>
      </c>
      <c r="D59" s="239"/>
      <c r="E59" s="239"/>
      <c r="F59" s="239"/>
      <c r="G59" s="239"/>
      <c r="H59" s="239"/>
      <c r="I59" s="239"/>
      <c r="J59" s="111"/>
      <c r="K59" s="112"/>
      <c r="L59" s="113"/>
      <c r="M59" s="114"/>
      <c r="N59" s="115"/>
      <c r="O59" s="52"/>
      <c r="Q59" s="109"/>
    </row>
    <row r="60" spans="1:17" ht="24" x14ac:dyDescent="0.3">
      <c r="A60" s="53"/>
      <c r="B60" s="53"/>
      <c r="C60" s="130"/>
      <c r="D60" s="131"/>
      <c r="E60" s="237" t="e">
        <f>VLOOKUP($D60,Table1[#All],2,FALSE)</f>
        <v>#N/A</v>
      </c>
      <c r="F60" s="237"/>
      <c r="G60" s="237"/>
      <c r="H60" s="132" t="e">
        <f>VLOOKUP($D60,Table1[#All],3,FALSE)</f>
        <v>#N/A</v>
      </c>
      <c r="I60" s="132"/>
      <c r="J60" s="133"/>
      <c r="K60" s="134" t="e">
        <f>VLOOKUP($D60,Table1[#All],4,FALSE)</f>
        <v>#N/A</v>
      </c>
      <c r="L60" s="135"/>
      <c r="M60" s="136" t="e">
        <f t="shared" si="1"/>
        <v>#N/A</v>
      </c>
      <c r="N60" s="137"/>
      <c r="O60" s="52"/>
      <c r="Q60" s="109"/>
    </row>
    <row r="61" spans="1:17" ht="24" x14ac:dyDescent="0.3">
      <c r="A61" s="53"/>
      <c r="B61" s="53"/>
      <c r="C61" s="125"/>
      <c r="D61" s="109"/>
      <c r="E61" s="215" t="e">
        <f>VLOOKUP($D61,Table1[#All],2,FALSE)</f>
        <v>#N/A</v>
      </c>
      <c r="F61" s="215"/>
      <c r="G61" s="215"/>
      <c r="H61" s="110" t="e">
        <f>VLOOKUP($D61,Table1[#All],3,FALSE)</f>
        <v>#N/A</v>
      </c>
      <c r="I61" s="110"/>
      <c r="J61" s="111"/>
      <c r="K61" s="112" t="e">
        <f>VLOOKUP($D61,Table1[#All],4,FALSE)</f>
        <v>#N/A</v>
      </c>
      <c r="L61" s="113"/>
      <c r="M61" s="114" t="e">
        <f t="shared" si="1"/>
        <v>#N/A</v>
      </c>
      <c r="N61" s="126"/>
      <c r="O61" s="52"/>
      <c r="Q61" s="109"/>
    </row>
    <row r="62" spans="1:17" ht="24" x14ac:dyDescent="0.3">
      <c r="A62" s="53"/>
      <c r="B62" s="53"/>
      <c r="C62" s="125"/>
      <c r="D62" s="109"/>
      <c r="E62" s="215" t="e">
        <f>VLOOKUP($D62,Table1[#All],2,FALSE)</f>
        <v>#N/A</v>
      </c>
      <c r="F62" s="215"/>
      <c r="G62" s="215"/>
      <c r="H62" s="110" t="e">
        <f>VLOOKUP($D62,Table1[#All],3,FALSE)</f>
        <v>#N/A</v>
      </c>
      <c r="I62" s="110"/>
      <c r="J62" s="111"/>
      <c r="K62" s="112" t="e">
        <f>VLOOKUP($D62,Table1[#All],4,FALSE)</f>
        <v>#N/A</v>
      </c>
      <c r="L62" s="113"/>
      <c r="M62" s="114" t="e">
        <f t="shared" si="1"/>
        <v>#N/A</v>
      </c>
      <c r="N62" s="126"/>
      <c r="O62" s="52"/>
    </row>
    <row r="63" spans="1:17" ht="24" x14ac:dyDescent="0.3">
      <c r="A63" s="53"/>
      <c r="B63" s="53"/>
      <c r="C63" s="125"/>
      <c r="D63" s="109"/>
      <c r="E63" s="215" t="e">
        <f>VLOOKUP($D63,Table1[#All],2,FALSE)</f>
        <v>#N/A</v>
      </c>
      <c r="F63" s="215"/>
      <c r="G63" s="215"/>
      <c r="H63" s="110" t="e">
        <f>VLOOKUP($D63,Table1[#All],3,FALSE)</f>
        <v>#N/A</v>
      </c>
      <c r="I63" s="110"/>
      <c r="J63" s="111"/>
      <c r="K63" s="112" t="e">
        <f>VLOOKUP($D63,Table1[#All],4,FALSE)</f>
        <v>#N/A</v>
      </c>
      <c r="L63" s="113"/>
      <c r="M63" s="114" t="e">
        <f t="shared" si="1"/>
        <v>#N/A</v>
      </c>
      <c r="N63" s="126"/>
      <c r="O63" s="52"/>
    </row>
    <row r="64" spans="1:17" ht="24" x14ac:dyDescent="0.3">
      <c r="A64" s="53"/>
      <c r="B64" s="53"/>
      <c r="C64" s="125"/>
      <c r="D64" s="109"/>
      <c r="E64" s="215" t="e">
        <f>VLOOKUP($D64,Table1[#All],2,FALSE)</f>
        <v>#N/A</v>
      </c>
      <c r="F64" s="215"/>
      <c r="G64" s="215"/>
      <c r="H64" s="110" t="e">
        <f>VLOOKUP($D64,Table1[#All],3,FALSE)</f>
        <v>#N/A</v>
      </c>
      <c r="I64" s="110"/>
      <c r="J64" s="111"/>
      <c r="K64" s="112" t="e">
        <f>VLOOKUP($D64,Table1[#All],4,FALSE)</f>
        <v>#N/A</v>
      </c>
      <c r="L64" s="113"/>
      <c r="M64" s="114" t="e">
        <f t="shared" si="1"/>
        <v>#N/A</v>
      </c>
      <c r="N64" s="126"/>
      <c r="O64" s="52"/>
    </row>
    <row r="65" spans="1:15" ht="25" thickBot="1" x14ac:dyDescent="0.35">
      <c r="A65" s="53"/>
      <c r="B65" s="53"/>
      <c r="C65" s="128"/>
      <c r="D65" s="138"/>
      <c r="E65" s="139" t="s">
        <v>468</v>
      </c>
      <c r="F65" s="139"/>
      <c r="G65" s="139"/>
      <c r="H65" s="139"/>
      <c r="I65" s="139"/>
      <c r="J65" s="139"/>
      <c r="K65" s="140"/>
      <c r="L65" s="129"/>
      <c r="M65" s="140" t="e">
        <f>SUM(M60:M64)</f>
        <v>#N/A</v>
      </c>
      <c r="N65" s="141"/>
      <c r="O65" s="52"/>
    </row>
    <row r="66" spans="1:15" ht="30" thickBot="1" x14ac:dyDescent="0.4">
      <c r="A66" s="68"/>
      <c r="B66" s="68"/>
      <c r="C66" s="69"/>
      <c r="D66" s="116"/>
      <c r="E66" s="117"/>
      <c r="F66" s="117"/>
      <c r="G66" s="236" t="s">
        <v>358</v>
      </c>
      <c r="H66" s="236"/>
      <c r="I66" s="236"/>
      <c r="J66" s="236"/>
      <c r="K66" s="236"/>
      <c r="L66" s="236"/>
      <c r="M66" s="118" t="e">
        <f>SUM(M60:M64)+M57</f>
        <v>#N/A</v>
      </c>
      <c r="N66" s="69"/>
      <c r="O66" s="69"/>
    </row>
    <row r="67" spans="1:15" ht="24" x14ac:dyDescent="0.3">
      <c r="A67" s="53"/>
      <c r="B67" s="52"/>
      <c r="C67" s="56"/>
      <c r="D67" s="52"/>
      <c r="E67" s="52"/>
      <c r="F67" s="52"/>
      <c r="G67" s="52"/>
      <c r="H67" s="52"/>
      <c r="I67" s="52"/>
      <c r="J67" s="54"/>
      <c r="K67" s="52"/>
      <c r="L67" s="54"/>
      <c r="M67" s="54"/>
      <c r="N67" s="54"/>
      <c r="O67" s="53"/>
    </row>
    <row r="68" spans="1:15" ht="55.25" customHeight="1" x14ac:dyDescent="0.3">
      <c r="A68" s="75"/>
      <c r="B68" s="214" t="s">
        <v>376</v>
      </c>
      <c r="C68" s="214"/>
      <c r="D68" s="214"/>
      <c r="E68" s="214"/>
      <c r="F68" s="214"/>
      <c r="G68" s="214"/>
      <c r="H68" s="214"/>
      <c r="I68" s="214"/>
      <c r="J68" s="214"/>
      <c r="K68" s="214"/>
      <c r="L68" s="214"/>
      <c r="M68" s="78"/>
      <c r="N68" s="78"/>
      <c r="O68" s="75"/>
    </row>
    <row r="69" spans="1:15" ht="26" x14ac:dyDescent="0.3">
      <c r="A69" s="75"/>
      <c r="B69" s="76"/>
      <c r="C69" s="77"/>
      <c r="D69" s="76"/>
      <c r="E69" s="76"/>
      <c r="F69" s="76"/>
      <c r="G69" s="76"/>
      <c r="H69" s="76"/>
      <c r="I69" s="76"/>
      <c r="J69" s="78"/>
      <c r="K69" s="76"/>
      <c r="L69" s="78"/>
      <c r="M69" s="78"/>
      <c r="N69" s="78"/>
      <c r="O69" s="75"/>
    </row>
    <row r="70" spans="1:15" ht="26" x14ac:dyDescent="0.3">
      <c r="A70" s="75"/>
      <c r="B70" s="214" t="s">
        <v>368</v>
      </c>
      <c r="C70" s="214"/>
      <c r="D70" s="214"/>
      <c r="E70" s="214"/>
      <c r="F70" s="214"/>
      <c r="G70" s="214"/>
      <c r="H70" s="214"/>
      <c r="I70" s="214"/>
      <c r="J70" s="214"/>
      <c r="K70" s="214"/>
      <c r="L70" s="214"/>
      <c r="M70" s="214"/>
      <c r="N70" s="214"/>
      <c r="O70" s="75"/>
    </row>
    <row r="71" spans="1:15" ht="26" x14ac:dyDescent="0.3">
      <c r="A71" s="75"/>
      <c r="B71" s="76"/>
      <c r="C71" s="77"/>
      <c r="D71" s="77"/>
      <c r="E71" s="77"/>
      <c r="F71" s="77"/>
      <c r="G71" s="77"/>
      <c r="H71" s="77"/>
      <c r="I71" s="77"/>
      <c r="J71" s="77"/>
      <c r="K71" s="77"/>
      <c r="L71" s="77"/>
      <c r="M71" s="77"/>
      <c r="N71" s="77"/>
      <c r="O71" s="75"/>
    </row>
    <row r="72" spans="1:15" ht="26" x14ac:dyDescent="0.3">
      <c r="A72" s="75"/>
      <c r="B72" s="211" t="s">
        <v>466</v>
      </c>
      <c r="C72" s="211"/>
      <c r="D72" s="211"/>
      <c r="E72" s="211"/>
      <c r="F72" s="211"/>
      <c r="G72" s="211"/>
      <c r="H72" s="211"/>
      <c r="I72" s="211"/>
      <c r="J72" s="211"/>
      <c r="K72" s="211"/>
      <c r="L72" s="211"/>
      <c r="M72" s="211"/>
      <c r="N72" s="211"/>
      <c r="O72" s="75"/>
    </row>
    <row r="73" spans="1:15" ht="26" x14ac:dyDescent="0.3">
      <c r="A73" s="75"/>
      <c r="B73" s="76"/>
      <c r="C73" s="77"/>
      <c r="D73" s="51"/>
      <c r="E73" s="51"/>
      <c r="F73" s="51"/>
      <c r="G73" s="76"/>
      <c r="H73" s="76"/>
      <c r="I73" s="76"/>
      <c r="J73" s="78"/>
      <c r="K73" s="76"/>
      <c r="L73" s="78"/>
      <c r="M73" s="48"/>
      <c r="N73" s="48"/>
      <c r="O73" s="75"/>
    </row>
    <row r="74" spans="1:15" ht="26" x14ac:dyDescent="0.3">
      <c r="A74" s="75"/>
      <c r="B74" s="211" t="s">
        <v>364</v>
      </c>
      <c r="C74" s="211"/>
      <c r="D74" s="211"/>
      <c r="E74" s="211"/>
      <c r="F74" s="211"/>
      <c r="G74" s="211"/>
      <c r="H74" s="211"/>
      <c r="I74" s="211"/>
      <c r="J74" s="211"/>
      <c r="K74" s="211"/>
      <c r="L74" s="211"/>
      <c r="M74" s="211"/>
      <c r="N74" s="211"/>
      <c r="O74" s="75"/>
    </row>
    <row r="75" spans="1:15" ht="26" x14ac:dyDescent="0.3">
      <c r="A75" s="75"/>
      <c r="B75" s="76"/>
      <c r="C75" s="77"/>
      <c r="D75" s="51"/>
      <c r="E75" s="51"/>
      <c r="F75" s="51"/>
      <c r="G75" s="76"/>
      <c r="H75" s="76"/>
      <c r="I75" s="76"/>
      <c r="J75" s="78"/>
      <c r="K75" s="76"/>
      <c r="L75" s="78"/>
      <c r="M75" s="48"/>
      <c r="N75" s="48"/>
      <c r="O75" s="75"/>
    </row>
    <row r="76" spans="1:15" ht="26" x14ac:dyDescent="0.3">
      <c r="A76" s="75"/>
      <c r="B76" s="50" t="s">
        <v>471</v>
      </c>
      <c r="C76" s="77"/>
      <c r="D76" s="51"/>
      <c r="E76" s="51"/>
      <c r="F76" s="51"/>
      <c r="G76" s="76"/>
      <c r="H76" s="76"/>
      <c r="I76" s="76"/>
      <c r="J76" s="78"/>
      <c r="K76" s="76"/>
      <c r="L76" s="78"/>
      <c r="M76" s="48"/>
      <c r="N76" s="48"/>
      <c r="O76" s="75"/>
    </row>
    <row r="77" spans="1:15" ht="27" thickBot="1" x14ac:dyDescent="0.35">
      <c r="A77" s="75"/>
      <c r="B77" s="76"/>
      <c r="C77" s="77"/>
      <c r="D77" s="51"/>
      <c r="E77" s="51"/>
      <c r="F77" s="51"/>
      <c r="G77" s="76"/>
      <c r="H77" s="76"/>
      <c r="I77" s="76"/>
      <c r="J77" s="78"/>
      <c r="K77" s="76"/>
      <c r="L77" s="78"/>
      <c r="M77" s="48"/>
      <c r="N77" s="169"/>
      <c r="O77" s="75"/>
    </row>
    <row r="78" spans="1:15" ht="27" thickBot="1" x14ac:dyDescent="0.35">
      <c r="A78" s="75"/>
      <c r="B78" s="166" t="s">
        <v>481</v>
      </c>
      <c r="C78" s="77"/>
      <c r="D78" s="51"/>
      <c r="E78" s="51"/>
      <c r="F78" s="51"/>
      <c r="G78" s="76"/>
      <c r="H78" s="76"/>
      <c r="I78" s="76"/>
      <c r="J78" s="78"/>
      <c r="K78" s="76"/>
      <c r="L78" s="78"/>
      <c r="M78" s="48"/>
      <c r="N78" s="170"/>
      <c r="O78" s="75"/>
    </row>
    <row r="79" spans="1:15" ht="26" x14ac:dyDescent="0.3">
      <c r="A79" s="75"/>
      <c r="B79" s="76"/>
      <c r="C79" s="77"/>
      <c r="D79" s="213" t="s">
        <v>472</v>
      </c>
      <c r="E79" s="213"/>
      <c r="F79" s="213"/>
      <c r="G79" s="213"/>
      <c r="H79" s="213"/>
      <c r="I79" s="213"/>
      <c r="J79" s="213"/>
      <c r="K79" s="213"/>
      <c r="L79" s="213"/>
      <c r="M79" s="213"/>
      <c r="N79" s="169" t="s">
        <v>477</v>
      </c>
      <c r="O79" s="75"/>
    </row>
    <row r="80" spans="1:15" ht="27" thickBot="1" x14ac:dyDescent="0.35">
      <c r="A80" s="75"/>
      <c r="B80" s="76"/>
      <c r="C80" s="77"/>
      <c r="D80" s="51"/>
      <c r="E80" s="51"/>
      <c r="F80" s="51"/>
      <c r="G80" s="76"/>
      <c r="H80" s="76"/>
      <c r="I80" s="76"/>
      <c r="J80" s="78"/>
      <c r="K80" s="76"/>
      <c r="L80" s="78"/>
      <c r="M80" s="48"/>
      <c r="N80" s="169"/>
      <c r="O80" s="75"/>
    </row>
    <row r="81" spans="1:15" ht="27" thickBot="1" x14ac:dyDescent="0.35">
      <c r="A81" s="75"/>
      <c r="B81" s="76" t="s">
        <v>473</v>
      </c>
      <c r="C81" s="77"/>
      <c r="D81" s="51"/>
      <c r="E81" s="51"/>
      <c r="F81" s="51"/>
      <c r="G81" s="76"/>
      <c r="H81" s="76"/>
      <c r="I81" s="76"/>
      <c r="J81" s="78"/>
      <c r="K81" s="76"/>
      <c r="L81" s="78"/>
      <c r="M81" s="48"/>
      <c r="N81" s="170"/>
      <c r="O81" s="75"/>
    </row>
    <row r="82" spans="1:15" ht="26" x14ac:dyDescent="0.3">
      <c r="A82" s="75"/>
      <c r="B82" s="76"/>
      <c r="C82" s="77"/>
      <c r="D82" s="213" t="s">
        <v>482</v>
      </c>
      <c r="E82" s="213"/>
      <c r="F82" s="213"/>
      <c r="G82" s="213"/>
      <c r="H82" s="213"/>
      <c r="I82" s="213"/>
      <c r="J82" s="213"/>
      <c r="K82" s="213"/>
      <c r="L82" s="213"/>
      <c r="M82" s="213"/>
      <c r="N82" s="169" t="s">
        <v>477</v>
      </c>
      <c r="O82" s="75"/>
    </row>
    <row r="83" spans="1:15" ht="26" x14ac:dyDescent="0.3">
      <c r="A83" s="75"/>
      <c r="B83" s="76"/>
      <c r="C83" s="77"/>
      <c r="D83" s="51"/>
      <c r="E83" s="51"/>
      <c r="F83" s="51"/>
      <c r="G83" s="76"/>
      <c r="H83" s="76"/>
      <c r="I83" s="76"/>
      <c r="J83" s="78"/>
      <c r="K83" s="76"/>
      <c r="L83" s="78"/>
      <c r="M83" s="48"/>
      <c r="N83" s="169"/>
      <c r="O83" s="75"/>
    </row>
    <row r="84" spans="1:15" ht="26" x14ac:dyDescent="0.3">
      <c r="A84" s="75"/>
      <c r="B84" s="76"/>
      <c r="C84" s="77"/>
      <c r="D84" s="51"/>
      <c r="E84" s="51"/>
      <c r="F84" s="51"/>
      <c r="G84" s="76"/>
      <c r="H84" s="76"/>
      <c r="I84" s="76"/>
      <c r="J84" s="78"/>
      <c r="K84" s="76"/>
      <c r="L84" s="78"/>
      <c r="M84" s="48"/>
      <c r="N84" s="48"/>
      <c r="O84" s="75"/>
    </row>
    <row r="85" spans="1:15" ht="26" x14ac:dyDescent="0.3">
      <c r="A85" s="75"/>
      <c r="B85" s="49" t="s">
        <v>330</v>
      </c>
      <c r="C85" s="79"/>
      <c r="D85" s="51"/>
      <c r="E85" s="51"/>
      <c r="F85" s="51"/>
      <c r="G85" s="76"/>
      <c r="H85" s="76"/>
      <c r="I85" s="76"/>
      <c r="J85" s="78"/>
      <c r="K85" s="76"/>
      <c r="L85" s="78"/>
      <c r="M85" s="48"/>
      <c r="N85" s="78"/>
      <c r="O85" s="75"/>
    </row>
    <row r="86" spans="1:15" ht="26" x14ac:dyDescent="0.3">
      <c r="A86" s="75"/>
      <c r="B86" s="211" t="s">
        <v>361</v>
      </c>
      <c r="C86" s="211"/>
      <c r="D86" s="211"/>
      <c r="E86" s="211"/>
      <c r="F86" s="211"/>
      <c r="G86" s="211"/>
      <c r="H86" s="211"/>
      <c r="I86" s="211"/>
      <c r="J86" s="211"/>
      <c r="K86" s="211"/>
      <c r="L86" s="211"/>
      <c r="M86" s="211"/>
      <c r="N86" s="211"/>
      <c r="O86" s="75"/>
    </row>
    <row r="87" spans="1:15" ht="26" x14ac:dyDescent="0.3">
      <c r="A87" s="75"/>
      <c r="B87" s="76"/>
      <c r="C87" s="214"/>
      <c r="D87" s="214"/>
      <c r="E87" s="214"/>
      <c r="F87" s="214"/>
      <c r="G87" s="214"/>
      <c r="H87" s="214"/>
      <c r="I87" s="214"/>
      <c r="J87" s="214"/>
      <c r="K87" s="214"/>
      <c r="L87" s="214"/>
      <c r="M87" s="78"/>
      <c r="N87" s="78"/>
      <c r="O87" s="75"/>
    </row>
    <row r="88" spans="1:15" ht="26" x14ac:dyDescent="0.3">
      <c r="A88" s="75"/>
      <c r="B88" s="49" t="s">
        <v>331</v>
      </c>
      <c r="C88" s="79"/>
      <c r="D88" s="77"/>
      <c r="E88" s="77"/>
      <c r="F88" s="77"/>
      <c r="G88" s="77"/>
      <c r="H88" s="77"/>
      <c r="I88" s="77"/>
      <c r="J88" s="78"/>
      <c r="K88" s="76"/>
      <c r="L88" s="78"/>
      <c r="M88" s="78"/>
      <c r="N88" s="78"/>
      <c r="O88" s="75"/>
    </row>
    <row r="89" spans="1:15" ht="26" x14ac:dyDescent="0.3">
      <c r="A89" s="75"/>
      <c r="B89" s="211" t="s">
        <v>461</v>
      </c>
      <c r="C89" s="211"/>
      <c r="D89" s="211"/>
      <c r="E89" s="211"/>
      <c r="F89" s="211"/>
      <c r="G89" s="211"/>
      <c r="H89" s="211"/>
      <c r="I89" s="211"/>
      <c r="J89" s="211"/>
      <c r="K89" s="211"/>
      <c r="L89" s="211"/>
      <c r="M89" s="211"/>
      <c r="N89" s="211"/>
      <c r="O89" s="75"/>
    </row>
    <row r="90" spans="1:15" ht="26" x14ac:dyDescent="0.3">
      <c r="A90" s="75"/>
      <c r="B90" s="211" t="s">
        <v>362</v>
      </c>
      <c r="C90" s="211"/>
      <c r="D90" s="211"/>
      <c r="E90" s="211"/>
      <c r="F90" s="211"/>
      <c r="G90" s="211"/>
      <c r="H90" s="211"/>
      <c r="I90" s="211"/>
      <c r="J90" s="211"/>
      <c r="K90" s="211"/>
      <c r="L90" s="211"/>
      <c r="M90" s="211"/>
      <c r="N90" s="211"/>
      <c r="O90" s="75"/>
    </row>
    <row r="91" spans="1:15" ht="26" x14ac:dyDescent="0.3">
      <c r="A91" s="75"/>
      <c r="B91" s="76"/>
      <c r="C91" s="77"/>
      <c r="D91" s="77"/>
      <c r="E91" s="77"/>
      <c r="F91" s="77"/>
      <c r="G91" s="77"/>
      <c r="H91" s="77"/>
      <c r="I91" s="77"/>
      <c r="J91" s="78"/>
      <c r="K91" s="76"/>
      <c r="L91" s="78"/>
      <c r="M91" s="78"/>
      <c r="N91" s="78"/>
      <c r="O91" s="75"/>
    </row>
    <row r="92" spans="1:15" ht="26" x14ac:dyDescent="0.3">
      <c r="A92" s="75"/>
      <c r="B92" s="211" t="s">
        <v>363</v>
      </c>
      <c r="C92" s="211"/>
      <c r="D92" s="211"/>
      <c r="E92" s="211"/>
      <c r="F92" s="211"/>
      <c r="G92" s="211"/>
      <c r="H92" s="211"/>
      <c r="I92" s="211"/>
      <c r="J92" s="211"/>
      <c r="K92" s="211"/>
      <c r="L92" s="211"/>
      <c r="M92" s="211"/>
      <c r="N92" s="211"/>
      <c r="O92" s="75"/>
    </row>
    <row r="93" spans="1:15" ht="26" x14ac:dyDescent="0.3">
      <c r="A93" s="75"/>
      <c r="B93" s="76"/>
      <c r="C93" s="77"/>
      <c r="D93" s="51"/>
      <c r="E93" s="51"/>
      <c r="F93" s="51"/>
      <c r="G93" s="76"/>
      <c r="H93" s="76"/>
      <c r="I93" s="76"/>
      <c r="J93" s="78"/>
      <c r="K93" s="76"/>
      <c r="L93" s="78"/>
      <c r="M93" s="78"/>
      <c r="N93" s="78"/>
      <c r="O93" s="75"/>
    </row>
    <row r="94" spans="1:15" ht="26" x14ac:dyDescent="0.3">
      <c r="A94" s="75"/>
      <c r="B94" s="214" t="s">
        <v>359</v>
      </c>
      <c r="C94" s="214"/>
      <c r="D94" s="214"/>
      <c r="E94" s="214"/>
      <c r="F94" s="214"/>
      <c r="G94" s="214"/>
      <c r="H94" s="214"/>
      <c r="I94" s="214"/>
      <c r="J94" s="214"/>
      <c r="K94" s="214"/>
      <c r="L94" s="214"/>
      <c r="M94" s="78"/>
      <c r="N94" s="78"/>
      <c r="O94" s="75"/>
    </row>
    <row r="95" spans="1:15" ht="26" x14ac:dyDescent="0.3">
      <c r="A95" s="75"/>
      <c r="B95" s="211" t="s">
        <v>360</v>
      </c>
      <c r="C95" s="211"/>
      <c r="D95" s="211"/>
      <c r="E95" s="211"/>
      <c r="F95" s="211"/>
      <c r="G95" s="211"/>
      <c r="H95" s="211"/>
      <c r="I95" s="211"/>
      <c r="J95" s="211"/>
      <c r="K95" s="211"/>
      <c r="L95" s="211"/>
      <c r="M95" s="211"/>
      <c r="N95" s="211"/>
      <c r="O95" s="75"/>
    </row>
    <row r="96" spans="1:15" ht="26" x14ac:dyDescent="0.3">
      <c r="A96" s="75"/>
      <c r="B96" s="253" t="s">
        <v>462</v>
      </c>
      <c r="C96" s="253"/>
      <c r="D96" s="253"/>
      <c r="E96" s="253"/>
      <c r="F96" s="253"/>
      <c r="G96" s="253"/>
      <c r="H96" s="253"/>
      <c r="I96" s="253"/>
      <c r="J96" s="253"/>
      <c r="K96" s="253"/>
      <c r="L96" s="253"/>
      <c r="M96" s="253"/>
      <c r="N96" s="253"/>
      <c r="O96" s="75"/>
    </row>
    <row r="97" spans="1:15" ht="26" x14ac:dyDescent="0.3">
      <c r="A97" s="75"/>
      <c r="B97" s="49" t="s">
        <v>332</v>
      </c>
      <c r="C97" s="79"/>
      <c r="D97" s="77"/>
      <c r="E97" s="77"/>
      <c r="F97" s="77"/>
      <c r="G97" s="77"/>
      <c r="H97" s="77"/>
      <c r="I97" s="77"/>
      <c r="J97" s="77"/>
      <c r="K97" s="77"/>
      <c r="L97" s="77"/>
      <c r="M97" s="78"/>
      <c r="N97" s="78"/>
      <c r="O97" s="75"/>
    </row>
    <row r="98" spans="1:15" ht="26" x14ac:dyDescent="0.3">
      <c r="A98" s="75"/>
      <c r="B98" s="211" t="s">
        <v>463</v>
      </c>
      <c r="C98" s="211"/>
      <c r="D98" s="211"/>
      <c r="E98" s="211"/>
      <c r="F98" s="211"/>
      <c r="G98" s="211"/>
      <c r="H98" s="211"/>
      <c r="I98" s="211"/>
      <c r="J98" s="211"/>
      <c r="K98" s="211"/>
      <c r="L98" s="211"/>
      <c r="M98" s="211"/>
      <c r="N98" s="211"/>
      <c r="O98" s="75"/>
    </row>
    <row r="99" spans="1:15" ht="26" x14ac:dyDescent="0.3">
      <c r="A99" s="75"/>
      <c r="B99" s="76"/>
      <c r="C99" s="214"/>
      <c r="D99" s="214"/>
      <c r="E99" s="214"/>
      <c r="F99" s="214"/>
      <c r="G99" s="214"/>
      <c r="H99" s="214"/>
      <c r="I99" s="214"/>
      <c r="J99" s="214"/>
      <c r="K99" s="214"/>
      <c r="L99" s="214"/>
      <c r="M99" s="78"/>
      <c r="N99" s="78"/>
      <c r="O99" s="75"/>
    </row>
    <row r="100" spans="1:15" ht="24" x14ac:dyDescent="0.3">
      <c r="A100" s="53"/>
      <c r="B100" s="57" t="s">
        <v>345</v>
      </c>
      <c r="C100" s="57"/>
      <c r="D100" s="58"/>
      <c r="E100" s="58"/>
      <c r="F100" s="58"/>
      <c r="G100" s="52"/>
      <c r="H100" s="52"/>
      <c r="I100" s="52"/>
      <c r="J100" s="54"/>
      <c r="K100" s="52"/>
      <c r="L100" s="54"/>
      <c r="M100" s="54"/>
      <c r="N100" s="54"/>
      <c r="O100" s="53"/>
    </row>
    <row r="101" spans="1:15" ht="24" x14ac:dyDescent="0.3">
      <c r="A101" s="53"/>
      <c r="B101" s="52"/>
      <c r="C101" s="250"/>
      <c r="D101" s="250"/>
      <c r="E101" s="250"/>
      <c r="F101" s="250"/>
      <c r="G101" s="250"/>
      <c r="H101" s="250"/>
      <c r="I101" s="250"/>
      <c r="J101" s="250"/>
      <c r="K101" s="250"/>
      <c r="L101" s="250"/>
      <c r="M101" s="250"/>
      <c r="N101" s="250"/>
      <c r="O101" s="53"/>
    </row>
    <row r="102" spans="1:15" ht="24" x14ac:dyDescent="0.3">
      <c r="A102" s="59"/>
      <c r="B102" s="251" t="s">
        <v>346</v>
      </c>
      <c r="C102" s="251"/>
      <c r="D102" s="251"/>
      <c r="E102" s="251"/>
      <c r="F102" s="251"/>
      <c r="G102" s="251"/>
      <c r="H102" s="251"/>
      <c r="I102" s="251"/>
      <c r="J102" s="251"/>
      <c r="K102" s="251"/>
      <c r="L102" s="251"/>
      <c r="M102" s="251"/>
      <c r="N102" s="251"/>
      <c r="O102" s="59"/>
    </row>
    <row r="103" spans="1:15" ht="24" x14ac:dyDescent="0.3">
      <c r="A103" s="59"/>
      <c r="B103" s="252" t="s">
        <v>347</v>
      </c>
      <c r="C103" s="252"/>
      <c r="D103" s="252"/>
      <c r="E103" s="252"/>
      <c r="F103" s="252"/>
      <c r="G103" s="252"/>
      <c r="H103" s="252"/>
      <c r="I103" s="252"/>
      <c r="J103" s="252"/>
      <c r="K103" s="252"/>
      <c r="L103" s="252"/>
      <c r="M103" s="252"/>
      <c r="N103" s="252"/>
      <c r="O103" s="59"/>
    </row>
    <row r="104" spans="1:15" ht="73.25" customHeight="1" x14ac:dyDescent="0.3">
      <c r="A104" s="59"/>
      <c r="B104" s="56"/>
      <c r="C104" s="60" t="s">
        <v>35</v>
      </c>
      <c r="D104" s="257" t="s">
        <v>348</v>
      </c>
      <c r="E104" s="257"/>
      <c r="F104" s="257"/>
      <c r="G104" s="257"/>
      <c r="H104" s="257"/>
      <c r="I104" s="257"/>
      <c r="J104" s="257"/>
      <c r="K104" s="257"/>
      <c r="L104" s="257"/>
      <c r="M104" s="257"/>
      <c r="N104" s="257"/>
      <c r="O104" s="59"/>
    </row>
    <row r="105" spans="1:15" ht="67.25" customHeight="1" x14ac:dyDescent="0.3">
      <c r="A105" s="59"/>
      <c r="B105" s="56"/>
      <c r="C105" s="60" t="s">
        <v>36</v>
      </c>
      <c r="D105" s="257" t="s">
        <v>349</v>
      </c>
      <c r="E105" s="257"/>
      <c r="F105" s="257"/>
      <c r="G105" s="257"/>
      <c r="H105" s="257"/>
      <c r="I105" s="257"/>
      <c r="J105" s="257"/>
      <c r="K105" s="257"/>
      <c r="L105" s="257"/>
      <c r="M105" s="257"/>
      <c r="N105" s="257"/>
      <c r="O105" s="59"/>
    </row>
    <row r="106" spans="1:15" ht="59" customHeight="1" x14ac:dyDescent="0.3">
      <c r="A106" s="59"/>
      <c r="B106" s="56"/>
      <c r="C106" s="60" t="s">
        <v>37</v>
      </c>
      <c r="D106" s="257" t="s">
        <v>38</v>
      </c>
      <c r="E106" s="257"/>
      <c r="F106" s="257"/>
      <c r="G106" s="257"/>
      <c r="H106" s="257"/>
      <c r="I106" s="257"/>
      <c r="J106" s="257"/>
      <c r="K106" s="257"/>
      <c r="L106" s="257"/>
      <c r="M106" s="61"/>
      <c r="N106" s="62"/>
      <c r="O106" s="59"/>
    </row>
    <row r="107" spans="1:15" ht="66" customHeight="1" x14ac:dyDescent="0.3">
      <c r="A107" s="59"/>
      <c r="B107" s="56"/>
      <c r="C107" s="60" t="s">
        <v>39</v>
      </c>
      <c r="D107" s="257" t="s">
        <v>350</v>
      </c>
      <c r="E107" s="257"/>
      <c r="F107" s="257"/>
      <c r="G107" s="257"/>
      <c r="H107" s="257"/>
      <c r="I107" s="257"/>
      <c r="J107" s="257"/>
      <c r="K107" s="257"/>
      <c r="L107" s="257"/>
      <c r="M107" s="257"/>
      <c r="N107" s="257"/>
      <c r="O107" s="59"/>
    </row>
    <row r="108" spans="1:15" ht="76.25" customHeight="1" x14ac:dyDescent="0.3">
      <c r="A108" s="59"/>
      <c r="B108" s="56"/>
      <c r="C108" s="60" t="s">
        <v>51</v>
      </c>
      <c r="D108" s="257" t="s">
        <v>351</v>
      </c>
      <c r="E108" s="257"/>
      <c r="F108" s="257"/>
      <c r="G108" s="257"/>
      <c r="H108" s="257"/>
      <c r="I108" s="257"/>
      <c r="J108" s="257"/>
      <c r="K108" s="257"/>
      <c r="L108" s="257"/>
      <c r="M108" s="257"/>
      <c r="N108" s="257"/>
      <c r="O108" s="59"/>
    </row>
    <row r="109" spans="1:15" ht="170" customHeight="1" x14ac:dyDescent="0.3">
      <c r="A109" s="59"/>
      <c r="B109" s="56"/>
      <c r="C109" s="60" t="s">
        <v>465</v>
      </c>
      <c r="D109" s="257" t="s">
        <v>479</v>
      </c>
      <c r="E109" s="257"/>
      <c r="F109" s="257"/>
      <c r="G109" s="257"/>
      <c r="H109" s="257"/>
      <c r="I109" s="257"/>
      <c r="J109" s="257"/>
      <c r="K109" s="257"/>
      <c r="L109" s="257"/>
      <c r="M109" s="257"/>
      <c r="N109" s="164" t="s">
        <v>464</v>
      </c>
      <c r="O109" s="59"/>
    </row>
    <row r="110" spans="1:15" ht="37.25" customHeight="1" x14ac:dyDescent="0.3">
      <c r="A110" s="53"/>
      <c r="B110" s="219" t="s">
        <v>33</v>
      </c>
      <c r="C110" s="219"/>
      <c r="D110" s="218" t="s">
        <v>40</v>
      </c>
      <c r="E110" s="218"/>
      <c r="F110" s="218"/>
      <c r="G110" s="219"/>
      <c r="H110" s="219"/>
      <c r="I110" s="219"/>
      <c r="J110" s="219"/>
      <c r="K110" s="219"/>
      <c r="L110" s="219"/>
      <c r="M110" s="218"/>
      <c r="N110" s="218"/>
      <c r="O110" s="53"/>
    </row>
    <row r="111" spans="1:15" ht="96" customHeight="1" x14ac:dyDescent="0.3">
      <c r="A111" s="53"/>
      <c r="B111" s="52"/>
      <c r="C111" s="63" t="s">
        <v>21</v>
      </c>
      <c r="D111" s="254" t="str">
        <f>VLOOKUP(C111,Table2[#All],2,FALSE)</f>
        <v xml:space="preserve">A short appointment to ascertain the nature of your dental issue.  Treatment may or may not be done at this appointment.  X-rays, intra-oral scans, CBCT and photos may be taken and charged separately.  </v>
      </c>
      <c r="E111" s="255"/>
      <c r="F111" s="255"/>
      <c r="G111" s="255"/>
      <c r="H111" s="255"/>
      <c r="I111" s="255"/>
      <c r="J111" s="255"/>
      <c r="K111" s="255"/>
      <c r="L111" s="255"/>
      <c r="M111" s="256"/>
      <c r="N111" s="163" t="s">
        <v>464</v>
      </c>
      <c r="O111" s="53"/>
    </row>
    <row r="112" spans="1:15" ht="257" customHeight="1" x14ac:dyDescent="0.3">
      <c r="A112" s="53"/>
      <c r="B112" s="52"/>
      <c r="C112" s="63" t="s">
        <v>369</v>
      </c>
      <c r="D112" s="254" t="e">
        <f>VLOOKUP(C112,Table2[#All],2,FALSE)</f>
        <v>#N/A</v>
      </c>
      <c r="E112" s="255"/>
      <c r="F112" s="255"/>
      <c r="G112" s="255"/>
      <c r="H112" s="255"/>
      <c r="I112" s="255"/>
      <c r="J112" s="255"/>
      <c r="K112" s="255"/>
      <c r="L112" s="255"/>
      <c r="M112" s="256"/>
      <c r="N112" s="163" t="s">
        <v>464</v>
      </c>
      <c r="O112" s="53"/>
    </row>
    <row r="113" spans="1:15" ht="195" customHeight="1" x14ac:dyDescent="0.3">
      <c r="A113" s="53"/>
      <c r="B113" s="52"/>
      <c r="C113" s="63" t="s">
        <v>490</v>
      </c>
      <c r="D113" s="254" t="e">
        <f>VLOOKUP(C113,Table2[#All],2,FALSE)</f>
        <v>#N/A</v>
      </c>
      <c r="E113" s="255"/>
      <c r="F113" s="255"/>
      <c r="G113" s="255"/>
      <c r="H113" s="255"/>
      <c r="I113" s="255"/>
      <c r="J113" s="255"/>
      <c r="K113" s="255"/>
      <c r="L113" s="255"/>
      <c r="M113" s="256"/>
      <c r="N113" s="163" t="s">
        <v>464</v>
      </c>
      <c r="O113" s="53"/>
    </row>
    <row r="114" spans="1:15" ht="25" x14ac:dyDescent="0.3">
      <c r="A114" s="53"/>
      <c r="B114" s="52"/>
      <c r="C114" s="63"/>
      <c r="D114" s="254" t="e">
        <f>VLOOKUP(C114,Table2[#All],2,FALSE)</f>
        <v>#N/A</v>
      </c>
      <c r="E114" s="255"/>
      <c r="F114" s="255"/>
      <c r="G114" s="255"/>
      <c r="H114" s="255"/>
      <c r="I114" s="255"/>
      <c r="J114" s="255"/>
      <c r="K114" s="255"/>
      <c r="L114" s="255"/>
      <c r="M114" s="256"/>
      <c r="N114" s="163" t="s">
        <v>464</v>
      </c>
      <c r="O114" s="53"/>
    </row>
    <row r="115" spans="1:15" ht="25" x14ac:dyDescent="0.3">
      <c r="A115" s="53"/>
      <c r="B115" s="52"/>
      <c r="C115" s="63"/>
      <c r="D115" s="254" t="e">
        <f>VLOOKUP(C115,Table2[#All],2,FALSE)</f>
        <v>#N/A</v>
      </c>
      <c r="E115" s="255"/>
      <c r="F115" s="255"/>
      <c r="G115" s="255"/>
      <c r="H115" s="255"/>
      <c r="I115" s="255"/>
      <c r="J115" s="255"/>
      <c r="K115" s="255"/>
      <c r="L115" s="255"/>
      <c r="M115" s="256"/>
      <c r="N115" s="163" t="s">
        <v>464</v>
      </c>
      <c r="O115" s="53"/>
    </row>
    <row r="116" spans="1:15" ht="25" x14ac:dyDescent="0.3">
      <c r="A116" s="53"/>
      <c r="B116" s="52"/>
      <c r="C116" s="63"/>
      <c r="D116" s="254" t="e">
        <f>VLOOKUP(C116,Table2[#All],2,FALSE)</f>
        <v>#N/A</v>
      </c>
      <c r="E116" s="255"/>
      <c r="F116" s="255"/>
      <c r="G116" s="255"/>
      <c r="H116" s="255"/>
      <c r="I116" s="255"/>
      <c r="J116" s="255"/>
      <c r="K116" s="255"/>
      <c r="L116" s="255"/>
      <c r="M116" s="256"/>
      <c r="N116" s="163" t="s">
        <v>464</v>
      </c>
      <c r="O116" s="53"/>
    </row>
    <row r="117" spans="1:15" ht="24" x14ac:dyDescent="0.3">
      <c r="A117" s="53"/>
      <c r="B117" s="52"/>
      <c r="C117" s="60"/>
      <c r="D117" s="64"/>
      <c r="E117" s="64"/>
      <c r="F117" s="64"/>
      <c r="G117" s="60"/>
      <c r="H117" s="60"/>
      <c r="I117" s="60"/>
      <c r="J117" s="60"/>
      <c r="K117" s="60"/>
      <c r="L117" s="65"/>
      <c r="M117" s="66"/>
      <c r="N117" s="67"/>
      <c r="O117" s="53"/>
    </row>
    <row r="118" spans="1:15" ht="26" x14ac:dyDescent="0.3">
      <c r="A118" s="75"/>
      <c r="B118" s="76"/>
      <c r="C118" s="77"/>
      <c r="D118" s="77"/>
      <c r="E118" s="77"/>
      <c r="F118" s="77"/>
      <c r="G118" s="77"/>
      <c r="H118" s="77"/>
      <c r="I118" s="77"/>
      <c r="J118" s="77"/>
      <c r="K118" s="77"/>
      <c r="L118" s="77"/>
      <c r="M118" s="78"/>
      <c r="N118" s="78"/>
      <c r="O118" s="75"/>
    </row>
    <row r="119" spans="1:15" ht="26" x14ac:dyDescent="0.3">
      <c r="A119" s="75"/>
      <c r="B119" s="76"/>
      <c r="C119" s="77" t="s">
        <v>333</v>
      </c>
      <c r="D119" s="77" t="s">
        <v>334</v>
      </c>
      <c r="E119" s="77"/>
      <c r="F119" s="77"/>
      <c r="G119" s="77"/>
      <c r="H119" s="77" t="s">
        <v>382</v>
      </c>
      <c r="I119" s="77"/>
      <c r="J119" s="77"/>
      <c r="K119" s="77"/>
      <c r="L119" s="77"/>
      <c r="M119" s="78"/>
      <c r="N119" s="78"/>
      <c r="O119" s="75"/>
    </row>
    <row r="120" spans="1:15" ht="26" x14ac:dyDescent="0.3">
      <c r="A120" s="75"/>
      <c r="B120" s="76"/>
      <c r="C120" s="77"/>
      <c r="D120" s="77"/>
      <c r="E120" s="77"/>
      <c r="F120" s="77"/>
      <c r="G120" s="77"/>
      <c r="H120" s="77"/>
      <c r="I120" s="77"/>
      <c r="J120" s="77"/>
      <c r="K120" s="77"/>
      <c r="L120" s="77"/>
      <c r="M120" s="78"/>
      <c r="N120" s="78"/>
      <c r="O120" s="75"/>
    </row>
    <row r="121" spans="1:15" ht="26" x14ac:dyDescent="0.3">
      <c r="A121" s="75"/>
      <c r="B121" s="76"/>
      <c r="C121" s="77"/>
      <c r="D121" s="77"/>
      <c r="E121" s="77"/>
      <c r="F121" s="77"/>
      <c r="G121" s="77"/>
      <c r="H121" s="77"/>
      <c r="I121" s="77"/>
      <c r="J121" s="77"/>
      <c r="K121" s="77"/>
      <c r="L121" s="77"/>
      <c r="M121" s="78"/>
      <c r="N121" s="78"/>
      <c r="O121" s="75"/>
    </row>
    <row r="122" spans="1:15" ht="26" x14ac:dyDescent="0.3">
      <c r="A122" s="75"/>
      <c r="B122" s="76"/>
      <c r="C122" s="77" t="s">
        <v>383</v>
      </c>
      <c r="D122" s="77"/>
      <c r="E122" s="77"/>
      <c r="F122" s="77"/>
      <c r="G122" s="77"/>
      <c r="H122" s="77"/>
      <c r="I122" s="77"/>
      <c r="J122" s="77"/>
      <c r="K122" s="77"/>
      <c r="L122" s="77"/>
      <c r="M122" s="78"/>
      <c r="N122" s="78"/>
      <c r="O122" s="75"/>
    </row>
    <row r="123" spans="1:15" ht="26" x14ac:dyDescent="0.3">
      <c r="A123" s="75"/>
      <c r="B123" s="76"/>
      <c r="C123" s="77"/>
      <c r="D123" s="77"/>
      <c r="E123" s="77"/>
      <c r="F123" s="77"/>
      <c r="G123" s="77"/>
      <c r="H123" s="77"/>
      <c r="I123" s="77"/>
      <c r="J123" s="77"/>
      <c r="K123" s="77"/>
      <c r="L123" s="77"/>
      <c r="M123" s="78"/>
      <c r="N123" s="78"/>
      <c r="O123" s="75"/>
    </row>
    <row r="124" spans="1:15" ht="26" x14ac:dyDescent="0.3">
      <c r="A124" s="75"/>
      <c r="B124" s="76"/>
      <c r="C124" s="77"/>
      <c r="D124" s="77"/>
      <c r="E124" s="77"/>
      <c r="F124" s="77"/>
      <c r="G124" s="77"/>
      <c r="H124" s="77"/>
      <c r="I124" s="77"/>
      <c r="J124" s="77"/>
      <c r="K124" s="77"/>
      <c r="L124" s="77"/>
      <c r="M124" s="78"/>
      <c r="N124" s="78"/>
      <c r="O124" s="75"/>
    </row>
    <row r="125" spans="1:15" ht="26" x14ac:dyDescent="0.3">
      <c r="A125" s="75"/>
      <c r="B125" s="76"/>
      <c r="C125" s="77" t="s">
        <v>335</v>
      </c>
      <c r="D125" s="77" t="s">
        <v>334</v>
      </c>
      <c r="E125" s="77"/>
      <c r="F125" s="77"/>
      <c r="G125" s="77"/>
      <c r="H125" s="77"/>
      <c r="I125" s="77"/>
      <c r="J125" s="77"/>
      <c r="K125" s="77"/>
      <c r="L125" s="77"/>
      <c r="M125" s="78"/>
      <c r="N125" s="78"/>
      <c r="O125" s="75"/>
    </row>
    <row r="126" spans="1:15" ht="26" x14ac:dyDescent="0.3">
      <c r="A126" s="75"/>
      <c r="B126" s="76"/>
      <c r="C126" s="77"/>
      <c r="D126" s="77"/>
      <c r="E126" s="77"/>
      <c r="F126" s="77"/>
      <c r="G126" s="77"/>
      <c r="H126" s="77"/>
      <c r="I126" s="77"/>
      <c r="J126" s="77"/>
      <c r="K126" s="77"/>
      <c r="L126" s="77"/>
      <c r="M126" s="78"/>
      <c r="N126" s="78"/>
      <c r="O126" s="75"/>
    </row>
    <row r="127" spans="1:15" ht="26" x14ac:dyDescent="0.3">
      <c r="A127" s="75"/>
      <c r="B127" s="76"/>
      <c r="C127" s="77"/>
      <c r="D127" s="77"/>
      <c r="E127" s="77"/>
      <c r="F127" s="77"/>
      <c r="G127" s="77"/>
      <c r="H127" s="77"/>
      <c r="I127" s="77"/>
      <c r="J127" s="77"/>
      <c r="K127" s="77"/>
      <c r="L127" s="77"/>
      <c r="M127" s="78"/>
      <c r="N127" s="78"/>
      <c r="O127" s="75"/>
    </row>
    <row r="128" spans="1:15" ht="26" x14ac:dyDescent="0.3">
      <c r="A128" s="75"/>
      <c r="B128" s="76"/>
      <c r="C128" s="77"/>
      <c r="D128" s="77"/>
      <c r="E128" s="77"/>
      <c r="F128" s="77"/>
      <c r="G128" s="77"/>
      <c r="H128" s="80"/>
      <c r="I128" s="80"/>
      <c r="J128" s="80" t="s">
        <v>338</v>
      </c>
      <c r="K128" s="77"/>
      <c r="L128" s="77"/>
      <c r="M128" s="78"/>
      <c r="N128" s="78"/>
      <c r="O128" s="75"/>
    </row>
    <row r="129" spans="1:15" ht="26" x14ac:dyDescent="0.3">
      <c r="A129" s="75"/>
      <c r="B129" s="76"/>
      <c r="C129" s="77" t="s">
        <v>336</v>
      </c>
      <c r="D129" s="77"/>
      <c r="E129" s="77"/>
      <c r="F129" s="77"/>
      <c r="G129" s="77"/>
      <c r="H129" s="77"/>
      <c r="I129" s="77"/>
      <c r="J129" s="77" t="s">
        <v>339</v>
      </c>
      <c r="K129" s="77" t="s">
        <v>393</v>
      </c>
      <c r="L129" s="77"/>
      <c r="M129" s="78"/>
      <c r="N129" s="78"/>
      <c r="O129" s="75"/>
    </row>
    <row r="130" spans="1:15" ht="26" x14ac:dyDescent="0.3">
      <c r="A130" s="75"/>
      <c r="B130" s="76"/>
      <c r="C130" s="77"/>
      <c r="D130" s="77"/>
      <c r="E130" s="77"/>
      <c r="F130" s="77"/>
      <c r="G130" s="77"/>
      <c r="H130" s="77"/>
      <c r="I130" s="77"/>
      <c r="J130" s="77" t="s">
        <v>340</v>
      </c>
      <c r="K130" s="77">
        <v>255655</v>
      </c>
      <c r="L130" s="77"/>
      <c r="M130" s="78"/>
      <c r="N130" s="78"/>
      <c r="O130" s="75"/>
    </row>
    <row r="131" spans="1:15" ht="26" x14ac:dyDescent="0.3">
      <c r="A131" s="75"/>
      <c r="B131" s="76"/>
      <c r="C131" s="77"/>
      <c r="D131" s="77"/>
      <c r="E131" s="77"/>
      <c r="F131" s="77"/>
      <c r="G131" s="77"/>
      <c r="H131" s="77"/>
      <c r="I131" s="77"/>
      <c r="J131" s="96" t="s">
        <v>341</v>
      </c>
      <c r="K131" s="77" t="s">
        <v>394</v>
      </c>
      <c r="L131" s="77"/>
      <c r="M131" s="78"/>
      <c r="N131" s="78"/>
      <c r="O131" s="75"/>
    </row>
    <row r="132" spans="1:15" ht="26" x14ac:dyDescent="0.3">
      <c r="A132" s="75"/>
      <c r="B132" s="76"/>
      <c r="C132" s="77"/>
      <c r="D132" s="77"/>
      <c r="E132" s="77"/>
      <c r="F132" s="77"/>
      <c r="G132" s="77"/>
      <c r="H132" s="77"/>
      <c r="I132" s="77"/>
      <c r="J132" s="77" t="s">
        <v>342</v>
      </c>
      <c r="K132" s="214">
        <v>62695604176</v>
      </c>
      <c r="L132" s="214"/>
      <c r="M132" s="214"/>
      <c r="N132" s="78"/>
      <c r="O132" s="75"/>
    </row>
    <row r="133" spans="1:15" ht="26" x14ac:dyDescent="0.3">
      <c r="A133" s="75"/>
      <c r="B133" s="76"/>
      <c r="C133" s="216"/>
      <c r="D133" s="216"/>
      <c r="E133" s="216"/>
      <c r="F133" s="77"/>
      <c r="G133" s="77"/>
      <c r="H133" s="77"/>
      <c r="I133" s="77"/>
      <c r="J133" s="77" t="s">
        <v>343</v>
      </c>
      <c r="K133" s="77" t="s">
        <v>344</v>
      </c>
      <c r="L133" s="77"/>
      <c r="M133" s="78"/>
      <c r="N133" s="78"/>
      <c r="O133" s="75"/>
    </row>
    <row r="134" spans="1:15" ht="45" x14ac:dyDescent="0.8">
      <c r="A134" s="75"/>
      <c r="B134" s="76"/>
      <c r="C134" s="220" t="s">
        <v>384</v>
      </c>
      <c r="D134" s="220"/>
      <c r="E134" s="220"/>
      <c r="F134" s="77"/>
      <c r="G134" s="77"/>
      <c r="H134" s="77"/>
      <c r="I134" s="77"/>
      <c r="J134" s="77"/>
      <c r="K134" s="77"/>
      <c r="L134" s="77"/>
      <c r="M134" s="78"/>
      <c r="N134" s="78"/>
      <c r="O134" s="75"/>
    </row>
    <row r="135" spans="1:15" ht="26" x14ac:dyDescent="0.3">
      <c r="A135" s="75"/>
      <c r="B135" s="76"/>
      <c r="C135" s="217" t="s">
        <v>337</v>
      </c>
      <c r="D135" s="217"/>
      <c r="E135" s="217"/>
      <c r="F135" s="77"/>
      <c r="G135" s="77"/>
      <c r="H135" s="77"/>
      <c r="I135" s="77"/>
      <c r="J135" s="77"/>
      <c r="K135" s="77"/>
      <c r="L135" s="77"/>
      <c r="M135" s="78"/>
      <c r="N135" s="78"/>
      <c r="O135" s="75"/>
    </row>
  </sheetData>
  <mergeCells count="100">
    <mergeCell ref="C1:L7"/>
    <mergeCell ref="C10:M10"/>
    <mergeCell ref="C11:M11"/>
    <mergeCell ref="C12:M12"/>
    <mergeCell ref="C13:M13"/>
    <mergeCell ref="C16:E16"/>
    <mergeCell ref="L16:N16"/>
    <mergeCell ref="B19:N20"/>
    <mergeCell ref="B22:N23"/>
    <mergeCell ref="B25:E25"/>
    <mergeCell ref="F25:K25"/>
    <mergeCell ref="B26:N27"/>
    <mergeCell ref="B29:E29"/>
    <mergeCell ref="F29:J29"/>
    <mergeCell ref="L29:N29"/>
    <mergeCell ref="C30:D30"/>
    <mergeCell ref="F30:K30"/>
    <mergeCell ref="L30:N30"/>
    <mergeCell ref="C31:D31"/>
    <mergeCell ref="F31:K31"/>
    <mergeCell ref="L31:N31"/>
    <mergeCell ref="C32:D32"/>
    <mergeCell ref="F32:K32"/>
    <mergeCell ref="L32:N32"/>
    <mergeCell ref="C33:D33"/>
    <mergeCell ref="F33:K33"/>
    <mergeCell ref="L33:N33"/>
    <mergeCell ref="C34:D34"/>
    <mergeCell ref="F34:K34"/>
    <mergeCell ref="L34:N34"/>
    <mergeCell ref="E45:G45"/>
    <mergeCell ref="C35:D35"/>
    <mergeCell ref="F35:K35"/>
    <mergeCell ref="L35:N35"/>
    <mergeCell ref="C36:D36"/>
    <mergeCell ref="F36:K36"/>
    <mergeCell ref="L36:N36"/>
    <mergeCell ref="B38:L38"/>
    <mergeCell ref="B40:J40"/>
    <mergeCell ref="L40:N40"/>
    <mergeCell ref="E43:F43"/>
    <mergeCell ref="E44:G44"/>
    <mergeCell ref="E52:G52"/>
    <mergeCell ref="E53:G53"/>
    <mergeCell ref="E46:G46"/>
    <mergeCell ref="E47:G47"/>
    <mergeCell ref="E48:G48"/>
    <mergeCell ref="E49:G49"/>
    <mergeCell ref="E50:G50"/>
    <mergeCell ref="E51:G51"/>
    <mergeCell ref="E64:G64"/>
    <mergeCell ref="E56:G56"/>
    <mergeCell ref="C57:F57"/>
    <mergeCell ref="G57:L57"/>
    <mergeCell ref="C58:M58"/>
    <mergeCell ref="C59:I59"/>
    <mergeCell ref="E60:G60"/>
    <mergeCell ref="E61:G61"/>
    <mergeCell ref="E62:G62"/>
    <mergeCell ref="E63:G63"/>
    <mergeCell ref="B74:N74"/>
    <mergeCell ref="D79:M79"/>
    <mergeCell ref="D82:M82"/>
    <mergeCell ref="G66:L66"/>
    <mergeCell ref="B68:L68"/>
    <mergeCell ref="B70:N70"/>
    <mergeCell ref="B72:N72"/>
    <mergeCell ref="B102:N102"/>
    <mergeCell ref="B86:N86"/>
    <mergeCell ref="C87:L87"/>
    <mergeCell ref="B89:N89"/>
    <mergeCell ref="B90:N90"/>
    <mergeCell ref="B92:N92"/>
    <mergeCell ref="B94:L94"/>
    <mergeCell ref="B95:N95"/>
    <mergeCell ref="B96:N96"/>
    <mergeCell ref="B98:N98"/>
    <mergeCell ref="C99:L99"/>
    <mergeCell ref="C101:N101"/>
    <mergeCell ref="D111:M111"/>
    <mergeCell ref="B103:N103"/>
    <mergeCell ref="D104:N104"/>
    <mergeCell ref="D105:N105"/>
    <mergeCell ref="D106:L106"/>
    <mergeCell ref="D107:N107"/>
    <mergeCell ref="D108:N108"/>
    <mergeCell ref="D109:M109"/>
    <mergeCell ref="B110:C110"/>
    <mergeCell ref="D110:F110"/>
    <mergeCell ref="G110:L110"/>
    <mergeCell ref="M110:N110"/>
    <mergeCell ref="C133:E133"/>
    <mergeCell ref="C134:E134"/>
    <mergeCell ref="C135:E135"/>
    <mergeCell ref="D112:M112"/>
    <mergeCell ref="D113:M113"/>
    <mergeCell ref="D114:M114"/>
    <mergeCell ref="D115:M115"/>
    <mergeCell ref="D116:M116"/>
    <mergeCell ref="K132:M132"/>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40CF4681-9FE5-B649-897C-CDB80F75DDF4}">
          <x14:formula1>
            <xm:f>'Lookup Items'!$B$348:$B$383</xm:f>
          </x14:formula1>
          <xm:sqref>C111:C117</xm:sqref>
        </x14:dataValidation>
        <x14:dataValidation type="list" allowBlank="1" showInputMessage="1" showErrorMessage="1" xr:uid="{7C27E005-1D35-FF4B-A970-80425E53B0E5}">
          <x14:formula1>
            <xm:f>'Lookup Items'!$B$3:$B$341</xm:f>
          </x14:formula1>
          <xm:sqref>D60:D64 D44:D56 Q52:Q61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2C0BA-02D0-C649-82C6-12E5EC734130}">
  <dimension ref="A1:O105"/>
  <sheetViews>
    <sheetView topLeftCell="A11" zoomScale="75" zoomScaleNormal="75" workbookViewId="0">
      <selection activeCell="M49" sqref="M49"/>
    </sheetView>
  </sheetViews>
  <sheetFormatPr baseColWidth="10" defaultColWidth="11.1640625" defaultRowHeight="16" x14ac:dyDescent="0.2"/>
  <cols>
    <col min="1" max="1" width="8" customWidth="1"/>
    <col min="2" max="2" width="10.6640625" style="25" customWidth="1"/>
    <col min="3" max="3" width="27.1640625" style="24" customWidth="1"/>
    <col min="4" max="6" width="15.5" style="25" customWidth="1"/>
    <col min="7" max="7" width="10.5" style="25" customWidth="1"/>
    <col min="8" max="9" width="13.1640625" style="25" customWidth="1"/>
    <col min="10" max="10" width="10.6640625" style="26" customWidth="1"/>
    <col min="11" max="11" width="16" style="25" customWidth="1"/>
    <col min="12" max="12" width="28.1640625" style="26" customWidth="1"/>
    <col min="13" max="13" width="18.1640625" style="26" customWidth="1"/>
    <col min="14" max="14" width="16.5" style="26" customWidth="1"/>
  </cols>
  <sheetData>
    <row r="1" spans="1:15" ht="224" customHeight="1" x14ac:dyDescent="0.2">
      <c r="B1" s="23"/>
      <c r="C1" s="226"/>
      <c r="D1" s="226"/>
      <c r="E1" s="226"/>
      <c r="F1" s="226"/>
      <c r="G1" s="226"/>
      <c r="H1" s="226"/>
      <c r="I1" s="226"/>
      <c r="J1" s="226"/>
      <c r="K1" s="226"/>
      <c r="L1" s="226"/>
    </row>
    <row r="2" spans="1:15" ht="24" x14ac:dyDescent="0.3">
      <c r="B2" s="32"/>
      <c r="C2" s="226"/>
      <c r="D2" s="226"/>
      <c r="E2" s="226"/>
      <c r="F2" s="226"/>
      <c r="G2" s="226"/>
      <c r="H2" s="226"/>
      <c r="I2" s="226"/>
      <c r="J2" s="226"/>
      <c r="K2" s="226"/>
      <c r="L2" s="226"/>
    </row>
    <row r="3" spans="1:15" x14ac:dyDescent="0.2">
      <c r="C3" s="226"/>
      <c r="D3" s="226"/>
      <c r="E3" s="226"/>
      <c r="F3" s="226"/>
      <c r="G3" s="226"/>
      <c r="H3" s="226"/>
      <c r="I3" s="226"/>
      <c r="J3" s="226"/>
      <c r="K3" s="226"/>
      <c r="L3" s="226"/>
    </row>
    <row r="4" spans="1:15" ht="21" x14ac:dyDescent="0.25">
      <c r="A4" s="4"/>
      <c r="B4" s="27"/>
      <c r="C4" s="226"/>
      <c r="D4" s="226"/>
      <c r="E4" s="226"/>
      <c r="F4" s="226"/>
      <c r="G4" s="226"/>
      <c r="H4" s="226"/>
      <c r="I4" s="226"/>
      <c r="J4" s="226"/>
      <c r="K4" s="226"/>
      <c r="L4" s="226"/>
      <c r="M4" s="29"/>
      <c r="N4" s="29"/>
      <c r="O4" s="4"/>
    </row>
    <row r="5" spans="1:15" x14ac:dyDescent="0.2">
      <c r="C5" s="226"/>
      <c r="D5" s="226"/>
      <c r="E5" s="226"/>
      <c r="F5" s="226"/>
      <c r="G5" s="226"/>
      <c r="H5" s="226"/>
      <c r="I5" s="226"/>
      <c r="J5" s="226"/>
      <c r="K5" s="226"/>
      <c r="L5" s="226"/>
    </row>
    <row r="6" spans="1:15" x14ac:dyDescent="0.2">
      <c r="C6" s="226"/>
      <c r="D6" s="226"/>
      <c r="E6" s="226"/>
      <c r="F6" s="226"/>
      <c r="G6" s="226"/>
      <c r="H6" s="226"/>
      <c r="I6" s="226"/>
      <c r="J6" s="226"/>
      <c r="K6" s="226"/>
      <c r="L6" s="226"/>
    </row>
    <row r="7" spans="1:15" x14ac:dyDescent="0.2">
      <c r="C7" s="226"/>
      <c r="D7" s="226"/>
      <c r="E7" s="226"/>
      <c r="F7" s="226"/>
      <c r="G7" s="226"/>
      <c r="H7" s="226"/>
      <c r="I7" s="226"/>
      <c r="J7" s="226"/>
      <c r="K7" s="226"/>
      <c r="L7" s="226"/>
    </row>
    <row r="8" spans="1:15" x14ac:dyDescent="0.2">
      <c r="C8" s="31"/>
      <c r="D8" s="31"/>
      <c r="E8" s="31"/>
      <c r="F8" s="31"/>
      <c r="G8" s="31"/>
      <c r="H8" s="31"/>
      <c r="I8" s="31"/>
      <c r="J8" s="31"/>
      <c r="K8" s="31"/>
      <c r="L8" s="31"/>
      <c r="M8" s="31"/>
      <c r="N8" s="31"/>
      <c r="O8" s="1"/>
    </row>
    <row r="9" spans="1:15" x14ac:dyDescent="0.2">
      <c r="C9" s="31"/>
      <c r="D9" s="31"/>
      <c r="E9" s="31"/>
      <c r="F9" s="31"/>
      <c r="G9" s="31"/>
      <c r="H9" s="31"/>
      <c r="I9" s="31"/>
      <c r="J9" s="31"/>
      <c r="K9" s="31"/>
      <c r="L9" s="31"/>
      <c r="M9" s="31"/>
      <c r="N9" s="31"/>
      <c r="O9" s="1"/>
    </row>
    <row r="10" spans="1:15" ht="26" customHeight="1" x14ac:dyDescent="0.3">
      <c r="C10" s="227" t="s">
        <v>518</v>
      </c>
      <c r="D10" s="227"/>
      <c r="E10" s="227"/>
      <c r="F10" s="227"/>
      <c r="G10" s="227"/>
      <c r="H10" s="227"/>
      <c r="I10" s="227"/>
      <c r="J10" s="227"/>
      <c r="K10" s="227"/>
      <c r="L10" s="227"/>
      <c r="M10" s="227"/>
      <c r="N10" s="91"/>
      <c r="O10" s="3"/>
    </row>
    <row r="11" spans="1:15" ht="26" customHeight="1" x14ac:dyDescent="0.2">
      <c r="C11" s="222" t="s">
        <v>480</v>
      </c>
      <c r="D11" s="222"/>
      <c r="E11" s="222"/>
      <c r="F11" s="222"/>
      <c r="G11" s="222"/>
      <c r="H11" s="222"/>
      <c r="I11" s="222"/>
      <c r="J11" s="222"/>
      <c r="K11" s="222"/>
      <c r="L11" s="222"/>
      <c r="M11" s="222"/>
      <c r="N11" s="31"/>
      <c r="O11" s="1"/>
    </row>
    <row r="12" spans="1:15" ht="26" customHeight="1" x14ac:dyDescent="0.2">
      <c r="C12" s="222" t="s">
        <v>522</v>
      </c>
      <c r="D12" s="222"/>
      <c r="E12" s="222"/>
      <c r="F12" s="222"/>
      <c r="G12" s="222"/>
      <c r="H12" s="222"/>
      <c r="I12" s="222"/>
      <c r="J12" s="222"/>
      <c r="K12" s="222"/>
      <c r="L12" s="222"/>
      <c r="M12" s="222"/>
      <c r="N12" s="31"/>
      <c r="O12" s="1"/>
    </row>
    <row r="13" spans="1:15" ht="26" customHeight="1" x14ac:dyDescent="0.2">
      <c r="C13" s="222" t="s">
        <v>456</v>
      </c>
      <c r="D13" s="222"/>
      <c r="E13" s="222"/>
      <c r="F13" s="222"/>
      <c r="G13" s="222"/>
      <c r="H13" s="222"/>
      <c r="I13" s="222"/>
      <c r="J13" s="222"/>
      <c r="K13" s="222"/>
      <c r="L13" s="222"/>
      <c r="M13" s="222"/>
      <c r="N13" s="31"/>
      <c r="O13" s="1"/>
    </row>
    <row r="14" spans="1:15" ht="29" x14ac:dyDescent="0.35">
      <c r="A14" s="68"/>
      <c r="B14" s="69"/>
      <c r="C14" s="70"/>
      <c r="D14" s="71"/>
      <c r="E14" s="71"/>
      <c r="F14" s="71"/>
      <c r="G14" s="71"/>
      <c r="H14" s="71"/>
      <c r="I14" s="71"/>
      <c r="J14" s="71"/>
      <c r="K14" s="71"/>
      <c r="L14" s="71"/>
      <c r="M14" s="70"/>
      <c r="N14" s="70"/>
      <c r="O14" s="72"/>
    </row>
    <row r="15" spans="1:15" ht="29" x14ac:dyDescent="0.35">
      <c r="A15" s="68"/>
      <c r="B15" s="69"/>
      <c r="C15" s="70"/>
      <c r="D15" s="70"/>
      <c r="E15" s="70"/>
      <c r="F15" s="70"/>
      <c r="G15" s="70"/>
      <c r="H15" s="70"/>
      <c r="I15" s="70"/>
      <c r="J15" s="70"/>
      <c r="K15" s="70"/>
      <c r="L15" s="70"/>
      <c r="M15" s="70"/>
      <c r="N15" s="70"/>
      <c r="O15" s="72"/>
    </row>
    <row r="16" spans="1:15" ht="30" x14ac:dyDescent="0.35">
      <c r="A16" s="68"/>
      <c r="B16" s="70" t="s">
        <v>326</v>
      </c>
      <c r="C16" s="223"/>
      <c r="D16" s="223"/>
      <c r="E16" s="223"/>
      <c r="F16" s="70"/>
      <c r="G16" s="70"/>
      <c r="H16" s="70"/>
      <c r="I16" s="70"/>
      <c r="J16" s="70"/>
      <c r="K16" s="70" t="s">
        <v>335</v>
      </c>
      <c r="L16" s="174"/>
      <c r="M16" s="173"/>
      <c r="N16" s="173"/>
      <c r="O16" s="72"/>
    </row>
    <row r="17" spans="1:15" ht="29" x14ac:dyDescent="0.35">
      <c r="A17" s="68"/>
      <c r="B17" s="69"/>
      <c r="C17" s="70"/>
      <c r="D17" s="70"/>
      <c r="E17" s="70"/>
      <c r="F17" s="70"/>
      <c r="G17" s="70"/>
      <c r="H17" s="70"/>
      <c r="I17" s="70"/>
      <c r="J17" s="70"/>
      <c r="K17" s="70"/>
      <c r="L17" s="70"/>
      <c r="M17" s="70"/>
      <c r="N17" s="70"/>
      <c r="O17" s="72"/>
    </row>
    <row r="18" spans="1:15" ht="29" x14ac:dyDescent="0.35">
      <c r="A18" s="68"/>
      <c r="B18" s="69"/>
      <c r="C18" s="70"/>
      <c r="D18" s="70"/>
      <c r="E18" s="70"/>
      <c r="F18" s="70"/>
      <c r="G18" s="70"/>
      <c r="H18" s="70"/>
      <c r="I18" s="70"/>
      <c r="J18" s="70"/>
      <c r="K18" s="70"/>
      <c r="L18" s="70"/>
      <c r="M18" s="70"/>
      <c r="N18" s="70"/>
      <c r="O18" s="72"/>
    </row>
    <row r="19" spans="1:15" ht="29" customHeight="1" x14ac:dyDescent="0.35">
      <c r="A19" s="68"/>
      <c r="B19" s="223" t="s">
        <v>327</v>
      </c>
      <c r="C19" s="223"/>
      <c r="D19" s="223"/>
      <c r="E19" s="223"/>
      <c r="F19" s="223"/>
      <c r="G19" s="223"/>
      <c r="H19" s="223"/>
      <c r="I19" s="223"/>
      <c r="J19" s="223"/>
      <c r="K19" s="223"/>
      <c r="L19" s="223"/>
      <c r="M19" s="223"/>
      <c r="N19" s="223"/>
      <c r="O19" s="72"/>
    </row>
    <row r="20" spans="1:15" ht="29" x14ac:dyDescent="0.35">
      <c r="A20" s="68"/>
      <c r="B20" s="223"/>
      <c r="C20" s="223"/>
      <c r="D20" s="223"/>
      <c r="E20" s="223"/>
      <c r="F20" s="223"/>
      <c r="G20" s="223"/>
      <c r="H20" s="223"/>
      <c r="I20" s="223"/>
      <c r="J20" s="223"/>
      <c r="K20" s="223"/>
      <c r="L20" s="223"/>
      <c r="M20" s="223"/>
      <c r="N20" s="223"/>
      <c r="O20" s="72"/>
    </row>
    <row r="21" spans="1:15" ht="29" x14ac:dyDescent="0.35">
      <c r="A21" s="68"/>
      <c r="B21" s="69"/>
      <c r="C21" s="73"/>
      <c r="D21" s="73"/>
      <c r="E21" s="73"/>
      <c r="F21" s="73"/>
      <c r="G21" s="73"/>
      <c r="H21" s="73"/>
      <c r="I21" s="73"/>
      <c r="J21" s="73"/>
      <c r="K21" s="73"/>
      <c r="L21" s="73"/>
      <c r="M21" s="73"/>
      <c r="N21" s="74"/>
      <c r="O21" s="68"/>
    </row>
    <row r="22" spans="1:15" ht="29" customHeight="1" x14ac:dyDescent="0.35">
      <c r="A22" s="68"/>
      <c r="B22" s="224" t="s">
        <v>459</v>
      </c>
      <c r="C22" s="224"/>
      <c r="D22" s="224"/>
      <c r="E22" s="224"/>
      <c r="F22" s="224"/>
      <c r="G22" s="224"/>
      <c r="H22" s="224"/>
      <c r="I22" s="224"/>
      <c r="J22" s="224"/>
      <c r="K22" s="224"/>
      <c r="L22" s="224"/>
      <c r="M22" s="224"/>
      <c r="N22" s="224"/>
      <c r="O22" s="68"/>
    </row>
    <row r="23" spans="1:15" ht="29" x14ac:dyDescent="0.35">
      <c r="A23" s="68"/>
      <c r="B23" s="224"/>
      <c r="C23" s="224"/>
      <c r="D23" s="224"/>
      <c r="E23" s="224"/>
      <c r="F23" s="224"/>
      <c r="G23" s="224"/>
      <c r="H23" s="224"/>
      <c r="I23" s="224"/>
      <c r="J23" s="224"/>
      <c r="K23" s="224"/>
      <c r="L23" s="224"/>
      <c r="M23" s="224"/>
      <c r="N23" s="224"/>
      <c r="O23" s="68"/>
    </row>
    <row r="24" spans="1:15" ht="29" x14ac:dyDescent="0.35">
      <c r="A24" s="68"/>
      <c r="B24" s="69"/>
      <c r="C24" s="70"/>
      <c r="D24" s="70"/>
      <c r="E24" s="70"/>
      <c r="F24" s="70"/>
      <c r="G24" s="70"/>
      <c r="H24" s="70"/>
      <c r="I24" s="70"/>
      <c r="J24" s="70"/>
      <c r="K24" s="70"/>
      <c r="L24" s="70"/>
      <c r="M24" s="74"/>
      <c r="N24" s="74"/>
      <c r="O24" s="68"/>
    </row>
    <row r="25" spans="1:15" ht="29" customHeight="1" x14ac:dyDescent="0.35">
      <c r="A25" s="68"/>
      <c r="B25" s="225" t="s">
        <v>329</v>
      </c>
      <c r="C25" s="225"/>
      <c r="D25" s="225"/>
      <c r="E25" s="225"/>
      <c r="F25" s="228" t="s">
        <v>373</v>
      </c>
      <c r="G25" s="228"/>
      <c r="H25" s="228"/>
      <c r="I25" s="228"/>
      <c r="J25" s="228"/>
      <c r="K25" s="228"/>
      <c r="L25" s="70"/>
      <c r="M25" s="74"/>
      <c r="N25" s="74"/>
      <c r="O25" s="68"/>
    </row>
    <row r="26" spans="1:15" ht="29" customHeight="1" x14ac:dyDescent="0.35">
      <c r="A26" s="68"/>
      <c r="B26" s="229"/>
      <c r="C26" s="230"/>
      <c r="D26" s="230"/>
      <c r="E26" s="230"/>
      <c r="F26" s="230"/>
      <c r="G26" s="230"/>
      <c r="H26" s="230"/>
      <c r="I26" s="230"/>
      <c r="J26" s="230"/>
      <c r="K26" s="230"/>
      <c r="L26" s="230"/>
      <c r="M26" s="230"/>
      <c r="N26" s="231"/>
      <c r="O26" s="68"/>
    </row>
    <row r="27" spans="1:15" ht="29" x14ac:dyDescent="0.35">
      <c r="A27" s="68"/>
      <c r="B27" s="232"/>
      <c r="C27" s="233"/>
      <c r="D27" s="233"/>
      <c r="E27" s="233"/>
      <c r="F27" s="233"/>
      <c r="G27" s="233"/>
      <c r="H27" s="233"/>
      <c r="I27" s="233"/>
      <c r="J27" s="233"/>
      <c r="K27" s="233"/>
      <c r="L27" s="233"/>
      <c r="M27" s="233"/>
      <c r="N27" s="234"/>
      <c r="O27" s="68"/>
    </row>
    <row r="28" spans="1:15" ht="29" x14ac:dyDescent="0.35">
      <c r="A28" s="68"/>
      <c r="B28" s="92"/>
      <c r="C28" s="92"/>
      <c r="D28" s="92"/>
      <c r="E28" s="92"/>
      <c r="F28" s="92"/>
      <c r="G28" s="92"/>
      <c r="H28" s="92"/>
      <c r="I28" s="92"/>
      <c r="J28" s="92"/>
      <c r="K28" s="92"/>
      <c r="L28" s="92"/>
      <c r="M28" s="92"/>
      <c r="N28" s="92"/>
      <c r="O28" s="68"/>
    </row>
    <row r="29" spans="1:15" ht="29" customHeight="1" x14ac:dyDescent="0.35">
      <c r="A29" s="68"/>
      <c r="B29" s="235" t="s">
        <v>385</v>
      </c>
      <c r="C29" s="235"/>
      <c r="D29" s="235"/>
      <c r="E29" s="235"/>
      <c r="F29" s="235" t="s">
        <v>386</v>
      </c>
      <c r="G29" s="235"/>
      <c r="H29" s="235"/>
      <c r="I29" s="235"/>
      <c r="J29" s="235"/>
      <c r="K29" s="93"/>
      <c r="L29" s="235" t="s">
        <v>387</v>
      </c>
      <c r="M29" s="235"/>
      <c r="N29" s="235"/>
      <c r="O29" s="68"/>
    </row>
    <row r="30" spans="1:15" ht="29" customHeight="1" x14ac:dyDescent="0.35">
      <c r="A30" s="68"/>
      <c r="B30" s="92"/>
      <c r="C30" s="212" t="s">
        <v>388</v>
      </c>
      <c r="D30" s="212"/>
      <c r="E30" s="94"/>
      <c r="F30" s="212" t="s">
        <v>524</v>
      </c>
      <c r="G30" s="212"/>
      <c r="H30" s="212"/>
      <c r="I30" s="212"/>
      <c r="J30" s="212"/>
      <c r="K30" s="212"/>
      <c r="L30" s="212" t="s">
        <v>525</v>
      </c>
      <c r="M30" s="212"/>
      <c r="N30" s="212"/>
      <c r="O30" s="68"/>
    </row>
    <row r="31" spans="1:15" ht="29" x14ac:dyDescent="0.35">
      <c r="A31" s="68"/>
      <c r="B31" s="92"/>
      <c r="C31" s="92"/>
      <c r="D31" s="92"/>
      <c r="E31" s="92"/>
      <c r="F31" s="92"/>
      <c r="G31" s="92"/>
      <c r="H31" s="92"/>
      <c r="I31" s="92"/>
      <c r="J31" s="92"/>
      <c r="K31" s="92"/>
      <c r="L31" s="92"/>
      <c r="M31" s="92"/>
      <c r="N31" s="92"/>
      <c r="O31" s="68"/>
    </row>
    <row r="32" spans="1:15" ht="29" customHeight="1" x14ac:dyDescent="0.35">
      <c r="A32" s="68"/>
      <c r="B32" s="238" t="s">
        <v>328</v>
      </c>
      <c r="C32" s="238"/>
      <c r="D32" s="238"/>
      <c r="E32" s="238"/>
      <c r="F32" s="238"/>
      <c r="G32" s="238"/>
      <c r="H32" s="238"/>
      <c r="I32" s="238"/>
      <c r="J32" s="238"/>
      <c r="K32" s="238"/>
      <c r="L32" s="238"/>
      <c r="M32" s="74"/>
      <c r="N32" s="74"/>
      <c r="O32" s="68"/>
    </row>
    <row r="33" spans="1:15" ht="17" thickBot="1" x14ac:dyDescent="0.25">
      <c r="C33" s="30"/>
    </row>
    <row r="34" spans="1:15" ht="30" thickBot="1" x14ac:dyDescent="0.4">
      <c r="A34" s="35"/>
      <c r="B34" s="243" t="s">
        <v>357</v>
      </c>
      <c r="C34" s="243"/>
      <c r="D34" s="243"/>
      <c r="E34" s="243"/>
      <c r="F34" s="243"/>
      <c r="G34" s="243"/>
      <c r="H34" s="243"/>
      <c r="I34" s="243"/>
      <c r="J34" s="243"/>
      <c r="K34" s="55"/>
      <c r="L34" s="244">
        <f>M47</f>
        <v>9455.32</v>
      </c>
      <c r="M34" s="245"/>
      <c r="N34" s="246"/>
      <c r="O34" s="35"/>
    </row>
    <row r="35" spans="1:15" ht="26" x14ac:dyDescent="0.3">
      <c r="A35" s="35"/>
      <c r="B35" s="33"/>
      <c r="C35" s="49"/>
      <c r="D35" s="49"/>
      <c r="E35" s="49"/>
      <c r="F35" s="49"/>
      <c r="G35" s="49"/>
      <c r="H35" s="50"/>
      <c r="I35" s="50"/>
      <c r="J35" s="48"/>
      <c r="K35" s="50"/>
      <c r="L35" s="48"/>
      <c r="M35" s="48"/>
      <c r="N35" s="34"/>
      <c r="O35" s="35"/>
    </row>
    <row r="36" spans="1:15" ht="22" thickBot="1" x14ac:dyDescent="0.3">
      <c r="A36" s="35"/>
      <c r="B36" s="33"/>
      <c r="C36" s="28"/>
      <c r="D36" s="28"/>
      <c r="E36" s="28"/>
      <c r="F36" s="28"/>
      <c r="G36" s="28"/>
      <c r="H36" s="33"/>
      <c r="I36" s="33"/>
      <c r="J36" s="34"/>
      <c r="K36" s="33"/>
      <c r="L36" s="34"/>
      <c r="M36" s="34"/>
      <c r="N36" s="34"/>
      <c r="O36" s="35"/>
    </row>
    <row r="37" spans="1:15" ht="46" x14ac:dyDescent="0.4">
      <c r="A37" s="119"/>
      <c r="B37" s="119"/>
      <c r="C37" s="162"/>
      <c r="D37" s="121" t="s">
        <v>0</v>
      </c>
      <c r="E37" s="249" t="s">
        <v>1</v>
      </c>
      <c r="F37" s="249"/>
      <c r="G37" s="122"/>
      <c r="H37" s="122" t="s">
        <v>31</v>
      </c>
      <c r="I37" s="122" t="s">
        <v>396</v>
      </c>
      <c r="J37" s="122" t="s">
        <v>7</v>
      </c>
      <c r="K37" s="123" t="s">
        <v>4</v>
      </c>
      <c r="L37" s="122" t="s">
        <v>5</v>
      </c>
      <c r="M37" s="123" t="s">
        <v>6</v>
      </c>
      <c r="N37" s="124"/>
      <c r="O37" s="120"/>
    </row>
    <row r="38" spans="1:15" ht="25" x14ac:dyDescent="0.3">
      <c r="A38" s="53"/>
      <c r="B38" s="53"/>
      <c r="C38" s="125"/>
      <c r="D38" s="109">
        <v>8109</v>
      </c>
      <c r="E38" s="215" t="str">
        <f>VLOOKUP($D38,Table1[#All],2,FALSE)</f>
        <v>Infection control per visit</v>
      </c>
      <c r="F38" s="215"/>
      <c r="G38" s="215"/>
      <c r="H38" s="110" t="str">
        <f>VLOOKUP($D38,Table1[#All],3,FALSE)</f>
        <v>IZ01.2</v>
      </c>
      <c r="I38" s="110" t="s">
        <v>552</v>
      </c>
      <c r="J38" s="111"/>
      <c r="K38" s="112">
        <v>135</v>
      </c>
      <c r="L38" s="113">
        <v>1</v>
      </c>
      <c r="M38" s="114">
        <f t="shared" ref="M38" si="0">+K38*L38</f>
        <v>135</v>
      </c>
      <c r="N38" s="126"/>
      <c r="O38" s="52"/>
    </row>
    <row r="39" spans="1:15" ht="25" x14ac:dyDescent="0.3">
      <c r="A39" s="53"/>
      <c r="B39" s="53"/>
      <c r="C39" s="125"/>
      <c r="D39" s="109">
        <v>8110</v>
      </c>
      <c r="E39" s="215" t="str">
        <f>VLOOKUP($D39,Table1[#All],2,FALSE)</f>
        <v>Sterilized instruments</v>
      </c>
      <c r="F39" s="215"/>
      <c r="G39" s="215"/>
      <c r="H39" s="110" t="str">
        <f>VLOOKUP($D39,Table1[#All],3,FALSE)</f>
        <v>IZ01.2</v>
      </c>
      <c r="I39" s="110" t="s">
        <v>552</v>
      </c>
      <c r="J39" s="111"/>
      <c r="K39" s="112">
        <v>135</v>
      </c>
      <c r="L39" s="113">
        <v>1</v>
      </c>
      <c r="M39" s="114">
        <f>+K39*L39</f>
        <v>135</v>
      </c>
      <c r="N39" s="126"/>
      <c r="O39" s="52"/>
    </row>
    <row r="40" spans="1:15" ht="25" x14ac:dyDescent="0.3">
      <c r="A40" s="53"/>
      <c r="B40" s="53"/>
      <c r="C40" s="125"/>
      <c r="D40" s="109">
        <v>8159</v>
      </c>
      <c r="E40" s="215" t="str">
        <f>VLOOKUP($D40,Table1[#All],2,FALSE)</f>
        <v>Prophylaxis - complete dentition</v>
      </c>
      <c r="F40" s="215"/>
      <c r="G40" s="215"/>
      <c r="H40" s="110" t="str">
        <f>VLOOKUP($D40,Table1[#All],3,FALSE)</f>
        <v>IK03.6</v>
      </c>
      <c r="I40" s="110" t="s">
        <v>552</v>
      </c>
      <c r="J40" s="111"/>
      <c r="K40" s="112">
        <v>1192</v>
      </c>
      <c r="L40" s="113">
        <v>1</v>
      </c>
      <c r="M40" s="114">
        <f>+K40*L40</f>
        <v>1192</v>
      </c>
      <c r="N40" s="126"/>
      <c r="O40" s="52"/>
    </row>
    <row r="41" spans="1:15" ht="26" thickBot="1" x14ac:dyDescent="0.35">
      <c r="A41" s="53"/>
      <c r="B41" s="53"/>
      <c r="C41" s="125"/>
      <c r="D41" s="109">
        <v>8308</v>
      </c>
      <c r="E41" s="215" t="str">
        <f>VLOOKUP($D41,Table1[#All],2,FALSE)</f>
        <v>External bleaching/whitening</v>
      </c>
      <c r="F41" s="215"/>
      <c r="G41" s="215"/>
      <c r="H41" s="110" t="str">
        <f>VLOOKUP($D41,Table1[#All],3,FALSE)</f>
        <v>IK03.6</v>
      </c>
      <c r="I41" s="110" t="s">
        <v>552</v>
      </c>
      <c r="J41" s="111"/>
      <c r="K41" s="112">
        <v>6157.32</v>
      </c>
      <c r="L41" s="113">
        <v>1</v>
      </c>
      <c r="M41" s="114">
        <f t="shared" ref="M41:M45" si="1">+K41*L41</f>
        <v>6157.32</v>
      </c>
      <c r="N41" s="127"/>
      <c r="O41" s="52"/>
    </row>
    <row r="42" spans="1:15" ht="30" customHeight="1" thickBot="1" x14ac:dyDescent="0.3">
      <c r="A42" s="142"/>
      <c r="B42" s="142"/>
      <c r="C42" s="261"/>
      <c r="D42" s="262"/>
      <c r="E42" s="262"/>
      <c r="F42" s="262"/>
      <c r="G42" s="241" t="s">
        <v>460</v>
      </c>
      <c r="H42" s="241"/>
      <c r="I42" s="241"/>
      <c r="J42" s="241"/>
      <c r="K42" s="241"/>
      <c r="L42" s="241"/>
      <c r="M42" s="171">
        <f>SUM(M38:M41)</f>
        <v>7619.32</v>
      </c>
      <c r="N42" s="197"/>
      <c r="O42" s="144"/>
    </row>
    <row r="43" spans="1:15" ht="32" customHeight="1" x14ac:dyDescent="0.3">
      <c r="A43" s="53"/>
      <c r="B43" s="53"/>
      <c r="C43" s="263"/>
      <c r="D43" s="263"/>
      <c r="E43" s="263"/>
      <c r="F43" s="263"/>
      <c r="G43" s="263"/>
      <c r="H43" s="263"/>
      <c r="I43" s="263"/>
      <c r="J43" s="263"/>
      <c r="K43" s="263"/>
      <c r="L43" s="263"/>
      <c r="M43" s="263"/>
      <c r="N43" s="115"/>
      <c r="O43" s="52"/>
    </row>
    <row r="44" spans="1:15" ht="25" thickBot="1" x14ac:dyDescent="0.35">
      <c r="A44" s="53"/>
      <c r="B44" s="53"/>
      <c r="C44" s="239" t="s">
        <v>467</v>
      </c>
      <c r="D44" s="239"/>
      <c r="E44" s="239"/>
      <c r="F44" s="239"/>
      <c r="G44" s="239"/>
      <c r="H44" s="239"/>
      <c r="I44" s="239"/>
      <c r="J44" s="111"/>
      <c r="K44" s="112"/>
      <c r="L44" s="113"/>
      <c r="M44" s="114"/>
      <c r="N44" s="115"/>
      <c r="O44" s="52"/>
    </row>
    <row r="45" spans="1:15" ht="24" x14ac:dyDescent="0.3">
      <c r="A45" s="53"/>
      <c r="B45" s="53"/>
      <c r="C45" s="130"/>
      <c r="D45" s="131" t="s">
        <v>516</v>
      </c>
      <c r="E45" s="237" t="str">
        <f>VLOOKUP($D45,Table1[#All],2,FALSE)</f>
        <v>Lab fee, approx. NOT FINAL AMOUNT - Bleaching Trays</v>
      </c>
      <c r="F45" s="237"/>
      <c r="G45" s="237"/>
      <c r="H45" s="132">
        <f>VLOOKUP($D45,Table1[#All],3,FALSE)</f>
        <v>0</v>
      </c>
      <c r="I45" s="132"/>
      <c r="J45" s="133"/>
      <c r="K45" s="134">
        <v>1836</v>
      </c>
      <c r="L45" s="135">
        <v>1</v>
      </c>
      <c r="M45" s="136">
        <f t="shared" si="1"/>
        <v>1836</v>
      </c>
      <c r="N45" s="137"/>
      <c r="O45" s="52"/>
    </row>
    <row r="46" spans="1:15" ht="25" thickBot="1" x14ac:dyDescent="0.35">
      <c r="A46" s="53"/>
      <c r="B46" s="53"/>
      <c r="C46" s="128"/>
      <c r="D46" s="138"/>
      <c r="E46" s="139" t="s">
        <v>468</v>
      </c>
      <c r="F46" s="139"/>
      <c r="G46" s="139"/>
      <c r="H46" s="139"/>
      <c r="I46" s="139"/>
      <c r="J46" s="139"/>
      <c r="K46" s="140"/>
      <c r="L46" s="129"/>
      <c r="M46" s="140">
        <f>SUM(M45:M45)</f>
        <v>1836</v>
      </c>
      <c r="N46" s="141"/>
      <c r="O46" s="52"/>
    </row>
    <row r="47" spans="1:15" ht="30" thickBot="1" x14ac:dyDescent="0.4">
      <c r="A47" s="68"/>
      <c r="B47" s="68"/>
      <c r="C47" s="69"/>
      <c r="D47" s="116"/>
      <c r="E47" s="117"/>
      <c r="F47" s="117"/>
      <c r="G47" s="236" t="s">
        <v>358</v>
      </c>
      <c r="H47" s="236"/>
      <c r="I47" s="236"/>
      <c r="J47" s="236"/>
      <c r="K47" s="236"/>
      <c r="L47" s="236"/>
      <c r="M47" s="118">
        <f>SUM(M45:M45)+M42</f>
        <v>9455.32</v>
      </c>
      <c r="N47" s="69"/>
      <c r="O47" s="69"/>
    </row>
    <row r="48" spans="1:15" ht="24" x14ac:dyDescent="0.3">
      <c r="A48" s="53"/>
      <c r="B48" s="52"/>
      <c r="C48" s="56"/>
      <c r="D48" s="52"/>
      <c r="E48" s="52"/>
      <c r="F48" s="52"/>
      <c r="G48" s="52"/>
      <c r="H48" s="52"/>
      <c r="I48" s="52"/>
      <c r="J48" s="54"/>
      <c r="K48" s="52"/>
      <c r="L48" s="54"/>
      <c r="M48" s="54"/>
      <c r="N48" s="54"/>
      <c r="O48" s="53"/>
    </row>
    <row r="49" spans="1:15" ht="46.25" customHeight="1" x14ac:dyDescent="0.3">
      <c r="A49" s="53"/>
      <c r="B49" s="52"/>
      <c r="C49" s="56"/>
      <c r="D49" s="52"/>
      <c r="E49" s="52"/>
      <c r="F49" s="52"/>
      <c r="G49" s="52"/>
      <c r="H49" s="52"/>
      <c r="I49" s="52"/>
      <c r="J49" s="54"/>
      <c r="K49" s="52"/>
      <c r="L49" s="54"/>
      <c r="M49" s="54"/>
      <c r="N49" s="54"/>
      <c r="O49" s="53"/>
    </row>
    <row r="50" spans="1:15" ht="26" x14ac:dyDescent="0.3">
      <c r="A50" s="75"/>
      <c r="B50" s="214" t="s">
        <v>376</v>
      </c>
      <c r="C50" s="214"/>
      <c r="D50" s="214"/>
      <c r="E50" s="214"/>
      <c r="F50" s="214"/>
      <c r="G50" s="214"/>
      <c r="H50" s="214"/>
      <c r="I50" s="214"/>
      <c r="J50" s="214"/>
      <c r="K50" s="214"/>
      <c r="L50" s="214"/>
      <c r="M50" s="78"/>
      <c r="N50" s="78"/>
      <c r="O50" s="75"/>
    </row>
    <row r="51" spans="1:15" ht="26" x14ac:dyDescent="0.3">
      <c r="A51" s="75"/>
      <c r="B51" s="76"/>
      <c r="C51" s="77"/>
      <c r="D51" s="76"/>
      <c r="E51" s="76"/>
      <c r="F51" s="76"/>
      <c r="G51" s="76"/>
      <c r="H51" s="76"/>
      <c r="I51" s="76"/>
      <c r="J51" s="78"/>
      <c r="K51" s="76"/>
      <c r="L51" s="78"/>
      <c r="M51" s="78"/>
      <c r="N51" s="78"/>
      <c r="O51" s="75"/>
    </row>
    <row r="52" spans="1:15" ht="26" x14ac:dyDescent="0.3">
      <c r="A52" s="75"/>
      <c r="B52" s="214" t="s">
        <v>368</v>
      </c>
      <c r="C52" s="214"/>
      <c r="D52" s="214"/>
      <c r="E52" s="214"/>
      <c r="F52" s="214"/>
      <c r="G52" s="214"/>
      <c r="H52" s="214"/>
      <c r="I52" s="214"/>
      <c r="J52" s="214"/>
      <c r="K52" s="214"/>
      <c r="L52" s="214"/>
      <c r="M52" s="214"/>
      <c r="N52" s="214"/>
      <c r="O52" s="75"/>
    </row>
    <row r="53" spans="1:15" ht="26" x14ac:dyDescent="0.3">
      <c r="A53" s="75"/>
      <c r="B53" s="76"/>
      <c r="C53" s="77"/>
      <c r="D53" s="77"/>
      <c r="E53" s="77"/>
      <c r="F53" s="77"/>
      <c r="G53" s="77"/>
      <c r="H53" s="77"/>
      <c r="I53" s="77"/>
      <c r="J53" s="77"/>
      <c r="K53" s="77"/>
      <c r="L53" s="77"/>
      <c r="M53" s="77"/>
      <c r="N53" s="77"/>
      <c r="O53" s="75"/>
    </row>
    <row r="54" spans="1:15" ht="26" x14ac:dyDescent="0.3">
      <c r="A54" s="75"/>
      <c r="B54" s="211" t="s">
        <v>566</v>
      </c>
      <c r="C54" s="211"/>
      <c r="D54" s="211"/>
      <c r="E54" s="211"/>
      <c r="F54" s="211"/>
      <c r="G54" s="211"/>
      <c r="H54" s="211"/>
      <c r="I54" s="211"/>
      <c r="J54" s="211"/>
      <c r="K54" s="211"/>
      <c r="L54" s="211"/>
      <c r="M54" s="211"/>
      <c r="N54" s="211"/>
      <c r="O54" s="75"/>
    </row>
    <row r="55" spans="1:15" ht="26" x14ac:dyDescent="0.3">
      <c r="A55" s="75"/>
      <c r="B55" s="76"/>
      <c r="C55" s="77"/>
      <c r="D55" s="51"/>
      <c r="E55" s="51"/>
      <c r="F55" s="51"/>
      <c r="G55" s="76"/>
      <c r="H55" s="76"/>
      <c r="I55" s="76"/>
      <c r="J55" s="78"/>
      <c r="K55" s="76"/>
      <c r="L55" s="78"/>
      <c r="M55" s="48"/>
      <c r="N55" s="48"/>
      <c r="O55" s="75"/>
    </row>
    <row r="56" spans="1:15" ht="26" x14ac:dyDescent="0.3">
      <c r="A56" s="75"/>
      <c r="B56" s="211" t="s">
        <v>364</v>
      </c>
      <c r="C56" s="211"/>
      <c r="D56" s="211"/>
      <c r="E56" s="211"/>
      <c r="F56" s="211"/>
      <c r="G56" s="211"/>
      <c r="H56" s="211"/>
      <c r="I56" s="211"/>
      <c r="J56" s="211"/>
      <c r="K56" s="211"/>
      <c r="L56" s="211"/>
      <c r="M56" s="211"/>
      <c r="N56" s="211"/>
      <c r="O56" s="75"/>
    </row>
    <row r="57" spans="1:15" ht="26" x14ac:dyDescent="0.3">
      <c r="A57" s="75"/>
      <c r="B57" s="76"/>
      <c r="C57" s="77"/>
      <c r="D57" s="51"/>
      <c r="E57" s="51"/>
      <c r="F57" s="51"/>
      <c r="G57" s="76"/>
      <c r="H57" s="76"/>
      <c r="I57" s="76"/>
      <c r="J57" s="78"/>
      <c r="K57" s="76"/>
      <c r="L57" s="78"/>
      <c r="M57" s="48"/>
      <c r="N57" s="48"/>
      <c r="O57" s="75"/>
    </row>
    <row r="58" spans="1:15" ht="26" x14ac:dyDescent="0.3">
      <c r="A58" s="75"/>
      <c r="B58" s="50" t="s">
        <v>471</v>
      </c>
      <c r="C58" s="77"/>
      <c r="D58" s="51"/>
      <c r="E58" s="51"/>
      <c r="F58" s="51"/>
      <c r="G58" s="76"/>
      <c r="H58" s="76"/>
      <c r="I58" s="76"/>
      <c r="J58" s="78"/>
      <c r="K58" s="76"/>
      <c r="L58" s="78"/>
      <c r="M58" s="48"/>
      <c r="N58" s="48"/>
      <c r="O58" s="75"/>
    </row>
    <row r="59" spans="1:15" ht="27" thickBot="1" x14ac:dyDescent="0.35">
      <c r="A59" s="75"/>
      <c r="B59" s="76"/>
      <c r="C59" s="77"/>
      <c r="D59" s="51"/>
      <c r="E59" s="51"/>
      <c r="F59" s="51"/>
      <c r="G59" s="76"/>
      <c r="H59" s="76"/>
      <c r="I59" s="76"/>
      <c r="J59" s="78"/>
      <c r="K59" s="76"/>
      <c r="L59" s="78"/>
      <c r="M59" s="48"/>
      <c r="N59" s="169"/>
      <c r="O59" s="75"/>
    </row>
    <row r="60" spans="1:15" ht="27" thickBot="1" x14ac:dyDescent="0.35">
      <c r="A60" s="75"/>
      <c r="B60" s="166" t="s">
        <v>526</v>
      </c>
      <c r="C60" s="77"/>
      <c r="D60" s="51"/>
      <c r="E60" s="51"/>
      <c r="F60" s="51"/>
      <c r="G60" s="76"/>
      <c r="H60" s="76"/>
      <c r="I60" s="76"/>
      <c r="J60" s="78"/>
      <c r="K60" s="76"/>
      <c r="L60" s="78"/>
      <c r="M60" s="48"/>
      <c r="N60" s="170"/>
      <c r="O60" s="75"/>
    </row>
    <row r="61" spans="1:15" ht="26" x14ac:dyDescent="0.3">
      <c r="A61" s="75"/>
      <c r="B61" s="76"/>
      <c r="C61" s="77"/>
      <c r="D61" s="213"/>
      <c r="E61" s="213"/>
      <c r="F61" s="213"/>
      <c r="G61" s="213"/>
      <c r="H61" s="213"/>
      <c r="I61" s="213"/>
      <c r="J61" s="213"/>
      <c r="K61" s="213"/>
      <c r="L61" s="213"/>
      <c r="M61" s="213"/>
      <c r="N61" s="169" t="s">
        <v>477</v>
      </c>
      <c r="O61" s="75"/>
    </row>
    <row r="62" spans="1:15" ht="26" customHeight="1" x14ac:dyDescent="0.3">
      <c r="A62" s="75"/>
      <c r="B62" s="76"/>
      <c r="C62" s="77"/>
      <c r="D62" s="51"/>
      <c r="E62" s="51"/>
      <c r="F62" s="51"/>
      <c r="G62" s="76"/>
      <c r="H62" s="76"/>
      <c r="I62" s="76"/>
      <c r="J62" s="78"/>
      <c r="K62" s="76"/>
      <c r="L62" s="78"/>
      <c r="M62" s="48"/>
      <c r="N62" s="48"/>
      <c r="O62" s="75"/>
    </row>
    <row r="63" spans="1:15" ht="26" customHeight="1" x14ac:dyDescent="0.3">
      <c r="A63" s="75"/>
      <c r="B63" s="49" t="s">
        <v>330</v>
      </c>
      <c r="C63" s="79"/>
      <c r="D63" s="51"/>
      <c r="E63" s="51"/>
      <c r="F63" s="51"/>
      <c r="G63" s="76"/>
      <c r="H63" s="76"/>
      <c r="I63" s="76"/>
      <c r="J63" s="78"/>
      <c r="K63" s="76"/>
      <c r="L63" s="78"/>
      <c r="M63" s="48"/>
      <c r="N63" s="78"/>
      <c r="O63" s="75"/>
    </row>
    <row r="64" spans="1:15" ht="26" x14ac:dyDescent="0.3">
      <c r="A64" s="75"/>
      <c r="B64" s="211" t="s">
        <v>361</v>
      </c>
      <c r="C64" s="211"/>
      <c r="D64" s="211"/>
      <c r="E64" s="211"/>
      <c r="F64" s="211"/>
      <c r="G64" s="211"/>
      <c r="H64" s="211"/>
      <c r="I64" s="211"/>
      <c r="J64" s="211"/>
      <c r="K64" s="211"/>
      <c r="L64" s="211"/>
      <c r="M64" s="211"/>
      <c r="N64" s="211"/>
      <c r="O64" s="75"/>
    </row>
    <row r="65" spans="1:15" ht="26" customHeight="1" x14ac:dyDescent="0.3">
      <c r="A65" s="75"/>
      <c r="B65" s="76"/>
      <c r="C65" s="214"/>
      <c r="D65" s="214"/>
      <c r="E65" s="214"/>
      <c r="F65" s="214"/>
      <c r="G65" s="214"/>
      <c r="H65" s="214"/>
      <c r="I65" s="214"/>
      <c r="J65" s="214"/>
      <c r="K65" s="214"/>
      <c r="L65" s="214"/>
      <c r="M65" s="78"/>
      <c r="N65" s="78"/>
      <c r="O65" s="75"/>
    </row>
    <row r="66" spans="1:15" ht="26" x14ac:dyDescent="0.3">
      <c r="A66" s="75"/>
      <c r="B66" s="49" t="s">
        <v>331</v>
      </c>
      <c r="C66" s="79"/>
      <c r="D66" s="77"/>
      <c r="E66" s="77"/>
      <c r="F66" s="77"/>
      <c r="G66" s="77"/>
      <c r="H66" s="77"/>
      <c r="I66" s="77"/>
      <c r="J66" s="78"/>
      <c r="K66" s="76"/>
      <c r="L66" s="78"/>
      <c r="M66" s="78"/>
      <c r="N66" s="78"/>
      <c r="O66" s="75"/>
    </row>
    <row r="67" spans="1:15" ht="26" x14ac:dyDescent="0.3">
      <c r="A67" s="75"/>
      <c r="B67" s="211" t="s">
        <v>461</v>
      </c>
      <c r="C67" s="211"/>
      <c r="D67" s="211"/>
      <c r="E67" s="211"/>
      <c r="F67" s="211"/>
      <c r="G67" s="211"/>
      <c r="H67" s="211"/>
      <c r="I67" s="211"/>
      <c r="J67" s="211"/>
      <c r="K67" s="211"/>
      <c r="L67" s="211"/>
      <c r="M67" s="211"/>
      <c r="N67" s="211"/>
      <c r="O67" s="75"/>
    </row>
    <row r="68" spans="1:15" ht="26" customHeight="1" x14ac:dyDescent="0.3">
      <c r="A68" s="75"/>
      <c r="B68" s="211" t="s">
        <v>362</v>
      </c>
      <c r="C68" s="211"/>
      <c r="D68" s="211"/>
      <c r="E68" s="211"/>
      <c r="F68" s="211"/>
      <c r="G68" s="211"/>
      <c r="H68" s="211"/>
      <c r="I68" s="211"/>
      <c r="J68" s="211"/>
      <c r="K68" s="211"/>
      <c r="L68" s="211"/>
      <c r="M68" s="211"/>
      <c r="N68" s="211"/>
      <c r="O68" s="75"/>
    </row>
    <row r="69" spans="1:15" ht="26" customHeight="1" x14ac:dyDescent="0.3">
      <c r="A69" s="75"/>
      <c r="B69" s="76"/>
      <c r="C69" s="77"/>
      <c r="D69" s="77"/>
      <c r="E69" s="77"/>
      <c r="F69" s="77"/>
      <c r="G69" s="77"/>
      <c r="H69" s="77"/>
      <c r="I69" s="77"/>
      <c r="J69" s="78"/>
      <c r="K69" s="76"/>
      <c r="L69" s="78"/>
      <c r="M69" s="78"/>
      <c r="N69" s="78"/>
      <c r="O69" s="75"/>
    </row>
    <row r="70" spans="1:15" ht="26" x14ac:dyDescent="0.3">
      <c r="A70" s="75"/>
      <c r="B70" s="211" t="s">
        <v>363</v>
      </c>
      <c r="C70" s="211"/>
      <c r="D70" s="211"/>
      <c r="E70" s="211"/>
      <c r="F70" s="211"/>
      <c r="G70" s="211"/>
      <c r="H70" s="211"/>
      <c r="I70" s="211"/>
      <c r="J70" s="211"/>
      <c r="K70" s="211"/>
      <c r="L70" s="211"/>
      <c r="M70" s="211"/>
      <c r="N70" s="211"/>
      <c r="O70" s="75"/>
    </row>
    <row r="71" spans="1:15" ht="26" customHeight="1" x14ac:dyDescent="0.3">
      <c r="A71" s="75"/>
      <c r="B71" s="76"/>
      <c r="C71" s="77"/>
      <c r="D71" s="51"/>
      <c r="E71" s="51"/>
      <c r="F71" s="51"/>
      <c r="G71" s="76"/>
      <c r="H71" s="76"/>
      <c r="I71" s="76"/>
      <c r="J71" s="78"/>
      <c r="K71" s="76"/>
      <c r="L71" s="78"/>
      <c r="M71" s="78"/>
      <c r="N71" s="78"/>
      <c r="O71" s="75"/>
    </row>
    <row r="72" spans="1:15" ht="26" x14ac:dyDescent="0.3">
      <c r="A72" s="75"/>
      <c r="B72" s="214" t="s">
        <v>359</v>
      </c>
      <c r="C72" s="214"/>
      <c r="D72" s="214"/>
      <c r="E72" s="214"/>
      <c r="F72" s="214"/>
      <c r="G72" s="214"/>
      <c r="H72" s="214"/>
      <c r="I72" s="214"/>
      <c r="J72" s="214"/>
      <c r="K72" s="214"/>
      <c r="L72" s="214"/>
      <c r="M72" s="78"/>
      <c r="N72" s="78"/>
      <c r="O72" s="75"/>
    </row>
    <row r="73" spans="1:15" ht="26" x14ac:dyDescent="0.3">
      <c r="A73" s="75"/>
      <c r="B73" s="211" t="s">
        <v>360</v>
      </c>
      <c r="C73" s="211"/>
      <c r="D73" s="211"/>
      <c r="E73" s="211"/>
      <c r="F73" s="211"/>
      <c r="G73" s="211"/>
      <c r="H73" s="211"/>
      <c r="I73" s="211"/>
      <c r="J73" s="211"/>
      <c r="K73" s="211"/>
      <c r="L73" s="211"/>
      <c r="M73" s="211"/>
      <c r="N73" s="211"/>
      <c r="O73" s="75"/>
    </row>
    <row r="74" spans="1:15" ht="26" x14ac:dyDescent="0.3">
      <c r="A74" s="75"/>
      <c r="B74" s="253" t="s">
        <v>462</v>
      </c>
      <c r="C74" s="253"/>
      <c r="D74" s="253"/>
      <c r="E74" s="253"/>
      <c r="F74" s="253"/>
      <c r="G74" s="253"/>
      <c r="H74" s="253"/>
      <c r="I74" s="253"/>
      <c r="J74" s="253"/>
      <c r="K74" s="253"/>
      <c r="L74" s="253"/>
      <c r="M74" s="253"/>
      <c r="N74" s="253"/>
      <c r="O74" s="75"/>
    </row>
    <row r="75" spans="1:15" ht="24" customHeight="1" x14ac:dyDescent="0.3">
      <c r="A75" s="75"/>
      <c r="B75" s="49" t="s">
        <v>332</v>
      </c>
      <c r="C75" s="79"/>
      <c r="D75" s="77"/>
      <c r="E75" s="77"/>
      <c r="F75" s="77"/>
      <c r="G75" s="77"/>
      <c r="H75" s="77"/>
      <c r="I75" s="77"/>
      <c r="J75" s="77"/>
      <c r="K75" s="77"/>
      <c r="L75" s="77"/>
      <c r="M75" s="78"/>
      <c r="N75" s="78"/>
      <c r="O75" s="75"/>
    </row>
    <row r="76" spans="1:15" ht="24" customHeight="1" x14ac:dyDescent="0.3">
      <c r="A76" s="75"/>
      <c r="B76" s="211" t="s">
        <v>463</v>
      </c>
      <c r="C76" s="211"/>
      <c r="D76" s="211"/>
      <c r="E76" s="211"/>
      <c r="F76" s="211"/>
      <c r="G76" s="211"/>
      <c r="H76" s="211"/>
      <c r="I76" s="211"/>
      <c r="J76" s="211"/>
      <c r="K76" s="211"/>
      <c r="L76" s="211"/>
      <c r="M76" s="211"/>
      <c r="N76" s="211"/>
      <c r="O76" s="75"/>
    </row>
    <row r="77" spans="1:15" ht="84" customHeight="1" x14ac:dyDescent="0.3">
      <c r="A77" s="75"/>
      <c r="B77" s="76"/>
      <c r="C77" s="214"/>
      <c r="D77" s="214"/>
      <c r="E77" s="214"/>
      <c r="F77" s="214"/>
      <c r="G77" s="214"/>
      <c r="H77" s="214"/>
      <c r="I77" s="214"/>
      <c r="J77" s="214"/>
      <c r="K77" s="214"/>
      <c r="L77" s="214"/>
      <c r="M77" s="78"/>
      <c r="N77" s="78"/>
      <c r="O77" s="75"/>
    </row>
    <row r="78" spans="1:15" ht="30" customHeight="1" x14ac:dyDescent="0.3">
      <c r="A78" s="53"/>
      <c r="B78" s="57" t="s">
        <v>345</v>
      </c>
      <c r="C78" s="57"/>
      <c r="D78" s="58"/>
      <c r="E78" s="58"/>
      <c r="F78" s="58"/>
      <c r="G78" s="52"/>
      <c r="H78" s="52"/>
      <c r="I78" s="52"/>
      <c r="J78" s="54"/>
      <c r="K78" s="52"/>
      <c r="L78" s="54"/>
      <c r="M78" s="54"/>
      <c r="N78" s="54"/>
      <c r="O78" s="53"/>
    </row>
    <row r="79" spans="1:15" ht="25.25" customHeight="1" x14ac:dyDescent="0.3">
      <c r="A79" s="53"/>
      <c r="B79" s="52"/>
      <c r="C79" s="250"/>
      <c r="D79" s="250"/>
      <c r="E79" s="250"/>
      <c r="F79" s="250"/>
      <c r="G79" s="250"/>
      <c r="H79" s="250"/>
      <c r="I79" s="250"/>
      <c r="J79" s="250"/>
      <c r="K79" s="250"/>
      <c r="L79" s="250"/>
      <c r="M79" s="250"/>
      <c r="N79" s="250"/>
      <c r="O79" s="53"/>
    </row>
    <row r="80" spans="1:15" ht="14" customHeight="1" x14ac:dyDescent="0.3">
      <c r="A80" s="59"/>
      <c r="B80" s="251" t="s">
        <v>346</v>
      </c>
      <c r="C80" s="251"/>
      <c r="D80" s="251"/>
      <c r="E80" s="251"/>
      <c r="F80" s="251"/>
      <c r="G80" s="251"/>
      <c r="H80" s="251"/>
      <c r="I80" s="251"/>
      <c r="J80" s="251"/>
      <c r="K80" s="251"/>
      <c r="L80" s="251"/>
      <c r="M80" s="251"/>
      <c r="N80" s="251"/>
      <c r="O80" s="59"/>
    </row>
    <row r="81" spans="1:15" ht="2.5" customHeight="1" x14ac:dyDescent="0.3">
      <c r="A81" s="59"/>
      <c r="B81" s="252" t="s">
        <v>347</v>
      </c>
      <c r="C81" s="252"/>
      <c r="D81" s="252"/>
      <c r="E81" s="252"/>
      <c r="F81" s="252"/>
      <c r="G81" s="252"/>
      <c r="H81" s="252"/>
      <c r="I81" s="252"/>
      <c r="J81" s="252"/>
      <c r="K81" s="252"/>
      <c r="L81" s="252"/>
      <c r="M81" s="252"/>
      <c r="N81" s="252"/>
      <c r="O81" s="59"/>
    </row>
    <row r="82" spans="1:15" ht="93" customHeight="1" x14ac:dyDescent="0.3">
      <c r="A82" s="59"/>
      <c r="B82" s="56"/>
      <c r="C82" s="60" t="s">
        <v>35</v>
      </c>
      <c r="D82" s="257" t="s">
        <v>348</v>
      </c>
      <c r="E82" s="257"/>
      <c r="F82" s="257"/>
      <c r="G82" s="257"/>
      <c r="H82" s="257"/>
      <c r="I82" s="257"/>
      <c r="J82" s="257"/>
      <c r="K82" s="257"/>
      <c r="L82" s="257"/>
      <c r="M82" s="257"/>
      <c r="N82" s="64"/>
      <c r="O82" s="59"/>
    </row>
    <row r="83" spans="1:15" ht="24" customHeight="1" x14ac:dyDescent="0.3">
      <c r="A83" s="59"/>
      <c r="B83" s="56"/>
      <c r="C83" s="60" t="s">
        <v>36</v>
      </c>
      <c r="D83" s="257" t="s">
        <v>349</v>
      </c>
      <c r="E83" s="257"/>
      <c r="F83" s="257"/>
      <c r="G83" s="257"/>
      <c r="H83" s="257"/>
      <c r="I83" s="257"/>
      <c r="J83" s="257"/>
      <c r="K83" s="257"/>
      <c r="L83" s="257"/>
      <c r="M83" s="257"/>
      <c r="N83" s="64"/>
      <c r="O83" s="59"/>
    </row>
    <row r="84" spans="1:15" ht="76.25" customHeight="1" x14ac:dyDescent="0.3">
      <c r="A84" s="59"/>
      <c r="B84" s="56"/>
      <c r="C84" s="60" t="s">
        <v>37</v>
      </c>
      <c r="D84" s="257" t="s">
        <v>523</v>
      </c>
      <c r="E84" s="257"/>
      <c r="F84" s="257"/>
      <c r="G84" s="257"/>
      <c r="H84" s="257"/>
      <c r="I84" s="257"/>
      <c r="J84" s="257"/>
      <c r="K84" s="257"/>
      <c r="L84" s="257"/>
      <c r="M84" s="257"/>
      <c r="N84" s="62"/>
      <c r="O84" s="59"/>
    </row>
    <row r="85" spans="1:15" ht="91.25" customHeight="1" x14ac:dyDescent="0.3">
      <c r="A85" s="53"/>
      <c r="B85" s="219" t="s">
        <v>33</v>
      </c>
      <c r="C85" s="219"/>
      <c r="D85" s="218" t="s">
        <v>40</v>
      </c>
      <c r="E85" s="218"/>
      <c r="F85" s="218"/>
      <c r="G85" s="219"/>
      <c r="H85" s="219"/>
      <c r="I85" s="219"/>
      <c r="J85" s="219"/>
      <c r="K85" s="219"/>
      <c r="L85" s="219"/>
      <c r="M85" s="218"/>
      <c r="N85" s="218"/>
      <c r="O85" s="53"/>
    </row>
    <row r="86" spans="1:15" ht="184.25" customHeight="1" x14ac:dyDescent="0.3">
      <c r="A86" s="53"/>
      <c r="B86" s="52"/>
      <c r="C86" s="63" t="s">
        <v>20</v>
      </c>
      <c r="D86" s="254" t="e">
        <f>VLOOKUP(C86,Table2[#All],2,FALSE)</f>
        <v>#N/A</v>
      </c>
      <c r="E86" s="255"/>
      <c r="F86" s="255"/>
      <c r="G86" s="255"/>
      <c r="H86" s="255"/>
      <c r="I86" s="255"/>
      <c r="J86" s="255"/>
      <c r="K86" s="255"/>
      <c r="L86" s="255"/>
      <c r="M86" s="256"/>
      <c r="N86" s="163" t="s">
        <v>464</v>
      </c>
      <c r="O86" s="53"/>
    </row>
    <row r="87" spans="1:15" ht="24" x14ac:dyDescent="0.3">
      <c r="A87" s="53"/>
      <c r="B87" s="52"/>
      <c r="C87" s="60"/>
      <c r="D87" s="64"/>
      <c r="E87" s="64"/>
      <c r="F87" s="64"/>
      <c r="G87" s="60"/>
      <c r="H87" s="60"/>
      <c r="I87" s="60"/>
      <c r="J87" s="60"/>
      <c r="K87" s="60"/>
      <c r="L87" s="65"/>
      <c r="M87" s="66"/>
      <c r="N87" s="67"/>
      <c r="O87" s="53"/>
    </row>
    <row r="88" spans="1:15" ht="26" x14ac:dyDescent="0.3">
      <c r="A88" s="75"/>
      <c r="B88" s="76"/>
      <c r="C88" s="77"/>
      <c r="D88" s="77"/>
      <c r="E88" s="77"/>
      <c r="F88" s="77"/>
      <c r="G88" s="77"/>
      <c r="H88" s="77"/>
      <c r="I88" s="77"/>
      <c r="J88" s="77"/>
      <c r="K88" s="77"/>
      <c r="L88" s="77"/>
      <c r="M88" s="78"/>
      <c r="N88" s="78"/>
      <c r="O88" s="75"/>
    </row>
    <row r="89" spans="1:15" ht="26" x14ac:dyDescent="0.3">
      <c r="A89" s="75"/>
      <c r="B89" s="76"/>
      <c r="C89" s="77" t="s">
        <v>333</v>
      </c>
      <c r="D89" s="77" t="s">
        <v>334</v>
      </c>
      <c r="E89" s="77"/>
      <c r="F89" s="77"/>
      <c r="G89" s="77"/>
      <c r="H89" s="77" t="s">
        <v>382</v>
      </c>
      <c r="I89" s="77"/>
      <c r="J89" s="77"/>
      <c r="K89" s="77"/>
      <c r="L89" s="77"/>
      <c r="M89" s="78"/>
      <c r="N89" s="78"/>
      <c r="O89" s="75"/>
    </row>
    <row r="90" spans="1:15" ht="26" x14ac:dyDescent="0.3">
      <c r="A90" s="75"/>
      <c r="B90" s="76"/>
      <c r="C90" s="77"/>
      <c r="D90" s="77"/>
      <c r="E90" s="77"/>
      <c r="F90" s="77"/>
      <c r="G90" s="77"/>
      <c r="H90" s="77"/>
      <c r="I90" s="77"/>
      <c r="J90" s="77"/>
      <c r="K90" s="77"/>
      <c r="L90" s="77"/>
      <c r="M90" s="78"/>
      <c r="N90" s="78"/>
      <c r="O90" s="75"/>
    </row>
    <row r="91" spans="1:15" ht="26" x14ac:dyDescent="0.3">
      <c r="A91" s="75"/>
      <c r="B91" s="76"/>
      <c r="C91" s="77"/>
      <c r="D91" s="77"/>
      <c r="E91" s="77"/>
      <c r="F91" s="77"/>
      <c r="G91" s="77"/>
      <c r="H91" s="77"/>
      <c r="I91" s="77"/>
      <c r="J91" s="77"/>
      <c r="K91" s="77"/>
      <c r="L91" s="77"/>
      <c r="M91" s="78"/>
      <c r="N91" s="78"/>
      <c r="O91" s="75"/>
    </row>
    <row r="92" spans="1:15" ht="26" x14ac:dyDescent="0.3">
      <c r="A92" s="75"/>
      <c r="B92" s="76"/>
      <c r="C92" s="77" t="s">
        <v>383</v>
      </c>
      <c r="D92" s="77"/>
      <c r="E92" s="77"/>
      <c r="F92" s="77"/>
      <c r="G92" s="77"/>
      <c r="H92" s="77"/>
      <c r="I92" s="77"/>
      <c r="J92" s="77"/>
      <c r="K92" s="77"/>
      <c r="L92" s="77"/>
      <c r="M92" s="78"/>
      <c r="N92" s="78"/>
      <c r="O92" s="75"/>
    </row>
    <row r="93" spans="1:15" ht="26" x14ac:dyDescent="0.3">
      <c r="A93" s="75"/>
      <c r="B93" s="76"/>
      <c r="C93" s="77"/>
      <c r="D93" s="77"/>
      <c r="E93" s="77"/>
      <c r="F93" s="77"/>
      <c r="G93" s="77"/>
      <c r="H93" s="77"/>
      <c r="I93" s="77"/>
      <c r="J93" s="77"/>
      <c r="K93" s="77"/>
      <c r="L93" s="77"/>
      <c r="M93" s="78"/>
      <c r="N93" s="78"/>
      <c r="O93" s="75"/>
    </row>
    <row r="94" spans="1:15" ht="26" x14ac:dyDescent="0.3">
      <c r="A94" s="75"/>
      <c r="B94" s="76"/>
      <c r="C94" s="77"/>
      <c r="D94" s="77"/>
      <c r="E94" s="77"/>
      <c r="F94" s="77"/>
      <c r="G94" s="77"/>
      <c r="H94" s="77"/>
      <c r="I94" s="77"/>
      <c r="J94" s="77"/>
      <c r="K94" s="77"/>
      <c r="L94" s="77"/>
      <c r="M94" s="78"/>
      <c r="N94" s="78"/>
      <c r="O94" s="75"/>
    </row>
    <row r="95" spans="1:15" ht="26" x14ac:dyDescent="0.3">
      <c r="A95" s="75"/>
      <c r="B95" s="76"/>
      <c r="C95" s="77" t="s">
        <v>335</v>
      </c>
      <c r="D95" s="77" t="s">
        <v>334</v>
      </c>
      <c r="E95" s="77"/>
      <c r="F95" s="77"/>
      <c r="G95" s="77"/>
      <c r="H95" s="77"/>
      <c r="I95" s="77"/>
      <c r="J95" s="77"/>
      <c r="K95" s="77"/>
      <c r="L95" s="77"/>
      <c r="M95" s="78"/>
      <c r="N95" s="78"/>
      <c r="O95" s="75"/>
    </row>
    <row r="96" spans="1:15" ht="26" x14ac:dyDescent="0.3">
      <c r="A96" s="75"/>
      <c r="B96" s="76"/>
      <c r="C96" s="77"/>
      <c r="D96" s="77"/>
      <c r="E96" s="77"/>
      <c r="F96" s="77"/>
      <c r="G96" s="77"/>
      <c r="H96" s="77"/>
      <c r="I96" s="77"/>
      <c r="J96" s="77"/>
      <c r="K96" s="77"/>
      <c r="L96" s="77"/>
      <c r="M96" s="78"/>
      <c r="N96" s="78"/>
      <c r="O96" s="75"/>
    </row>
    <row r="97" spans="1:15" ht="26" x14ac:dyDescent="0.3">
      <c r="A97" s="75"/>
      <c r="B97" s="76"/>
      <c r="C97" s="77"/>
      <c r="D97" s="77"/>
      <c r="E97" s="77"/>
      <c r="F97" s="77"/>
      <c r="G97" s="77"/>
      <c r="H97" s="77"/>
      <c r="I97" s="77"/>
      <c r="J97" s="77"/>
      <c r="K97" s="77"/>
      <c r="L97" s="77"/>
      <c r="M97" s="78"/>
      <c r="N97" s="78"/>
      <c r="O97" s="75"/>
    </row>
    <row r="98" spans="1:15" ht="26" x14ac:dyDescent="0.3">
      <c r="A98" s="75"/>
      <c r="B98" s="76"/>
      <c r="C98" s="77"/>
      <c r="D98" s="77"/>
      <c r="E98" s="77"/>
      <c r="F98" s="77"/>
      <c r="G98" s="77"/>
      <c r="H98" s="80"/>
      <c r="I98" s="80"/>
      <c r="J98" s="80" t="s">
        <v>338</v>
      </c>
      <c r="K98" s="77"/>
      <c r="L98" s="77"/>
      <c r="M98" s="78"/>
      <c r="N98" s="78"/>
      <c r="O98" s="75"/>
    </row>
    <row r="99" spans="1:15" ht="26" x14ac:dyDescent="0.3">
      <c r="A99" s="75"/>
      <c r="B99" s="76"/>
      <c r="C99" s="77" t="s">
        <v>336</v>
      </c>
      <c r="D99" s="77"/>
      <c r="E99" s="77"/>
      <c r="F99" s="77"/>
      <c r="G99" s="77"/>
      <c r="H99" s="77"/>
      <c r="I99" s="77"/>
      <c r="J99" s="77" t="s">
        <v>339</v>
      </c>
      <c r="K99" s="77" t="s">
        <v>521</v>
      </c>
      <c r="L99" s="77"/>
      <c r="M99" s="78"/>
      <c r="N99" s="78"/>
      <c r="O99" s="75"/>
    </row>
    <row r="100" spans="1:15" ht="26" x14ac:dyDescent="0.3">
      <c r="A100" s="75"/>
      <c r="B100" s="76"/>
      <c r="C100" s="77"/>
      <c r="D100" s="77"/>
      <c r="E100" s="77"/>
      <c r="F100" s="77"/>
      <c r="G100" s="77"/>
      <c r="H100" s="77"/>
      <c r="I100" s="77"/>
      <c r="J100" s="77" t="s">
        <v>340</v>
      </c>
      <c r="K100" s="77">
        <v>198765</v>
      </c>
      <c r="L100" s="77"/>
      <c r="M100" s="78"/>
      <c r="N100" s="78"/>
      <c r="O100" s="75"/>
    </row>
    <row r="101" spans="1:15" ht="26" x14ac:dyDescent="0.3">
      <c r="A101" s="75"/>
      <c r="B101" s="76"/>
      <c r="C101" s="77"/>
      <c r="D101" s="77"/>
      <c r="E101" s="77"/>
      <c r="F101" s="77"/>
      <c r="G101" s="77"/>
      <c r="H101" s="77"/>
      <c r="I101" s="77"/>
      <c r="J101" s="96" t="s">
        <v>341</v>
      </c>
      <c r="K101" s="77" t="s">
        <v>518</v>
      </c>
      <c r="L101" s="77"/>
      <c r="M101" s="78"/>
      <c r="N101" s="78"/>
      <c r="O101" s="75"/>
    </row>
    <row r="102" spans="1:15" ht="26" x14ac:dyDescent="0.3">
      <c r="A102" s="75"/>
      <c r="B102" s="76"/>
      <c r="C102" s="77"/>
      <c r="D102" s="77"/>
      <c r="E102" s="77"/>
      <c r="F102" s="77"/>
      <c r="G102" s="77"/>
      <c r="H102" s="77"/>
      <c r="I102" s="77"/>
      <c r="J102" s="77" t="s">
        <v>342</v>
      </c>
      <c r="K102" s="214">
        <v>1212904478</v>
      </c>
      <c r="L102" s="214"/>
      <c r="M102" s="214"/>
      <c r="N102" s="78"/>
      <c r="O102" s="75"/>
    </row>
    <row r="103" spans="1:15" ht="26" x14ac:dyDescent="0.3">
      <c r="A103" s="75"/>
      <c r="B103" s="76"/>
      <c r="C103" s="216"/>
      <c r="D103" s="216"/>
      <c r="E103" s="216"/>
      <c r="F103" s="77"/>
      <c r="G103" s="77"/>
      <c r="H103" s="77"/>
      <c r="I103" s="77"/>
      <c r="J103" s="77" t="s">
        <v>343</v>
      </c>
      <c r="K103" s="77" t="s">
        <v>344</v>
      </c>
      <c r="L103" s="77"/>
      <c r="M103" s="78"/>
      <c r="N103" s="78"/>
      <c r="O103" s="75"/>
    </row>
    <row r="104" spans="1:15" ht="45" x14ac:dyDescent="0.8">
      <c r="A104" s="75"/>
      <c r="B104" s="76"/>
      <c r="C104" s="220" t="s">
        <v>384</v>
      </c>
      <c r="D104" s="220"/>
      <c r="E104" s="220"/>
      <c r="F104" s="77"/>
      <c r="G104" s="77"/>
      <c r="H104" s="77"/>
      <c r="I104" s="77"/>
      <c r="J104" s="77"/>
      <c r="K104" s="77"/>
      <c r="L104" s="77"/>
      <c r="M104" s="78"/>
      <c r="N104" s="78"/>
      <c r="O104" s="75"/>
    </row>
    <row r="105" spans="1:15" ht="26" x14ac:dyDescent="0.3">
      <c r="A105" s="75"/>
      <c r="B105" s="76"/>
      <c r="C105" s="217" t="s">
        <v>337</v>
      </c>
      <c r="D105" s="217"/>
      <c r="E105" s="217"/>
      <c r="F105" s="77"/>
      <c r="G105" s="77"/>
      <c r="H105" s="77"/>
      <c r="I105" s="77"/>
      <c r="J105" s="77"/>
      <c r="K105" s="77"/>
      <c r="L105" s="77"/>
      <c r="M105" s="78"/>
      <c r="N105" s="78"/>
      <c r="O105" s="75"/>
    </row>
  </sheetData>
  <mergeCells count="61">
    <mergeCell ref="B19:N20"/>
    <mergeCell ref="B22:N23"/>
    <mergeCell ref="B25:E25"/>
    <mergeCell ref="F25:K25"/>
    <mergeCell ref="C1:L7"/>
    <mergeCell ref="C10:M10"/>
    <mergeCell ref="C11:M11"/>
    <mergeCell ref="C12:M12"/>
    <mergeCell ref="C13:M13"/>
    <mergeCell ref="C16:E16"/>
    <mergeCell ref="E39:G39"/>
    <mergeCell ref="B26:N27"/>
    <mergeCell ref="B29:E29"/>
    <mergeCell ref="F29:J29"/>
    <mergeCell ref="L29:N29"/>
    <mergeCell ref="C30:D30"/>
    <mergeCell ref="F30:K30"/>
    <mergeCell ref="L30:N30"/>
    <mergeCell ref="B32:L32"/>
    <mergeCell ref="B34:J34"/>
    <mergeCell ref="L34:N34"/>
    <mergeCell ref="E37:F37"/>
    <mergeCell ref="E38:G38"/>
    <mergeCell ref="G47:L47"/>
    <mergeCell ref="C44:I44"/>
    <mergeCell ref="E45:G45"/>
    <mergeCell ref="E40:G40"/>
    <mergeCell ref="E41:G41"/>
    <mergeCell ref="C42:F42"/>
    <mergeCell ref="G42:L42"/>
    <mergeCell ref="C43:M43"/>
    <mergeCell ref="B50:L50"/>
    <mergeCell ref="D84:M84"/>
    <mergeCell ref="D82:M82"/>
    <mergeCell ref="C79:N79"/>
    <mergeCell ref="B76:N76"/>
    <mergeCell ref="B73:N73"/>
    <mergeCell ref="B74:N74"/>
    <mergeCell ref="C77:L77"/>
    <mergeCell ref="B68:N68"/>
    <mergeCell ref="D61:M61"/>
    <mergeCell ref="B52:N52"/>
    <mergeCell ref="B54:N54"/>
    <mergeCell ref="B56:N56"/>
    <mergeCell ref="B64:N64"/>
    <mergeCell ref="C65:L65"/>
    <mergeCell ref="B67:N67"/>
    <mergeCell ref="B70:N70"/>
    <mergeCell ref="B72:L72"/>
    <mergeCell ref="C103:E103"/>
    <mergeCell ref="C104:E104"/>
    <mergeCell ref="C105:E105"/>
    <mergeCell ref="K102:M102"/>
    <mergeCell ref="B80:N80"/>
    <mergeCell ref="B81:N81"/>
    <mergeCell ref="D83:M83"/>
    <mergeCell ref="B85:C85"/>
    <mergeCell ref="D85:F85"/>
    <mergeCell ref="G85:L85"/>
    <mergeCell ref="M85:N85"/>
    <mergeCell ref="D86:M86"/>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4ADF44D-8D88-8B48-9E3C-95A098F8B00E}">
          <x14:formula1>
            <xm:f>'Lookup Items'!$B$348:$B$383</xm:f>
          </x14:formula1>
          <xm:sqref>C86:C87</xm:sqref>
        </x14:dataValidation>
        <x14:dataValidation type="list" allowBlank="1" showInputMessage="1" showErrorMessage="1" xr:uid="{97F620BF-6649-9244-B1BC-9C624320ED61}">
          <x14:formula1>
            <xm:f>'Lookup Items'!$B$3:$B$341</xm:f>
          </x14:formula1>
          <xm:sqref>D45 D38:D41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21C43-AADE-E045-80D3-19D7ED7AA5E5}">
  <dimension ref="A1:O99"/>
  <sheetViews>
    <sheetView topLeftCell="A26" zoomScaleNormal="100" workbookViewId="0">
      <selection activeCell="C43" sqref="C43:M43"/>
    </sheetView>
  </sheetViews>
  <sheetFormatPr baseColWidth="10" defaultColWidth="11.1640625" defaultRowHeight="16" x14ac:dyDescent="0.2"/>
  <cols>
    <col min="1" max="1" width="8" customWidth="1"/>
    <col min="2" max="2" width="10.6640625" style="25" customWidth="1"/>
    <col min="3" max="3" width="27.1640625" style="24" customWidth="1"/>
    <col min="4" max="6" width="15.5" style="25" customWidth="1"/>
    <col min="7" max="7" width="10.5" style="25" customWidth="1"/>
    <col min="8" max="9" width="13.1640625" style="25" customWidth="1"/>
    <col min="10" max="10" width="10.6640625" style="26" customWidth="1"/>
    <col min="11" max="11" width="16" style="25" customWidth="1"/>
    <col min="12" max="12" width="26.5" style="181" customWidth="1"/>
    <col min="13" max="13" width="16.1640625" style="26" customWidth="1"/>
    <col min="14" max="14" width="16.5" style="26" customWidth="1"/>
  </cols>
  <sheetData>
    <row r="1" spans="1:15" x14ac:dyDescent="0.2">
      <c r="B1" s="23"/>
      <c r="C1" s="226"/>
      <c r="D1" s="226"/>
      <c r="E1" s="226"/>
      <c r="F1" s="226"/>
      <c r="G1" s="226"/>
      <c r="H1" s="226"/>
      <c r="I1" s="226"/>
      <c r="J1" s="226"/>
      <c r="K1" s="226"/>
      <c r="L1" s="226"/>
    </row>
    <row r="2" spans="1:15" ht="24" x14ac:dyDescent="0.3">
      <c r="B2" s="32"/>
      <c r="C2" s="226"/>
      <c r="D2" s="226"/>
      <c r="E2" s="226"/>
      <c r="F2" s="226"/>
      <c r="G2" s="226"/>
      <c r="H2" s="226"/>
      <c r="I2" s="226"/>
      <c r="J2" s="226"/>
      <c r="K2" s="226"/>
      <c r="L2" s="226"/>
    </row>
    <row r="3" spans="1:15" x14ac:dyDescent="0.2">
      <c r="C3" s="226"/>
      <c r="D3" s="226"/>
      <c r="E3" s="226"/>
      <c r="F3" s="226"/>
      <c r="G3" s="226"/>
      <c r="H3" s="226"/>
      <c r="I3" s="226"/>
      <c r="J3" s="226"/>
      <c r="K3" s="226"/>
      <c r="L3" s="226"/>
    </row>
    <row r="4" spans="1:15" ht="21" x14ac:dyDescent="0.25">
      <c r="A4" s="4"/>
      <c r="B4" s="27"/>
      <c r="C4" s="226"/>
      <c r="D4" s="226"/>
      <c r="E4" s="226"/>
      <c r="F4" s="226"/>
      <c r="G4" s="226"/>
      <c r="H4" s="226"/>
      <c r="I4" s="226"/>
      <c r="J4" s="226"/>
      <c r="K4" s="226"/>
      <c r="L4" s="226"/>
      <c r="M4" s="29"/>
      <c r="N4" s="29"/>
      <c r="O4" s="4"/>
    </row>
    <row r="5" spans="1:15" x14ac:dyDescent="0.2">
      <c r="C5" s="226"/>
      <c r="D5" s="226"/>
      <c r="E5" s="226"/>
      <c r="F5" s="226"/>
      <c r="G5" s="226"/>
      <c r="H5" s="226"/>
      <c r="I5" s="226"/>
      <c r="J5" s="226"/>
      <c r="K5" s="226"/>
      <c r="L5" s="226"/>
    </row>
    <row r="6" spans="1:15" x14ac:dyDescent="0.2">
      <c r="C6" s="226"/>
      <c r="D6" s="226"/>
      <c r="E6" s="226"/>
      <c r="F6" s="226"/>
      <c r="G6" s="226"/>
      <c r="H6" s="226"/>
      <c r="I6" s="226"/>
      <c r="J6" s="226"/>
      <c r="K6" s="226"/>
      <c r="L6" s="226"/>
    </row>
    <row r="7" spans="1:15" x14ac:dyDescent="0.2">
      <c r="C7" s="226"/>
      <c r="D7" s="226"/>
      <c r="E7" s="226"/>
      <c r="F7" s="226"/>
      <c r="G7" s="226"/>
      <c r="H7" s="226"/>
      <c r="I7" s="226"/>
      <c r="J7" s="226"/>
      <c r="K7" s="226"/>
      <c r="L7" s="226"/>
    </row>
    <row r="8" spans="1:15" x14ac:dyDescent="0.2">
      <c r="C8" s="31"/>
      <c r="D8" s="31"/>
      <c r="E8" s="31"/>
      <c r="F8" s="31"/>
      <c r="G8" s="31"/>
      <c r="H8" s="31"/>
      <c r="I8" s="31"/>
      <c r="J8" s="31"/>
      <c r="K8" s="31"/>
      <c r="L8" s="176"/>
      <c r="M8" s="31"/>
      <c r="N8" s="31"/>
      <c r="O8" s="1"/>
    </row>
    <row r="9" spans="1:15" ht="153" customHeight="1" x14ac:dyDescent="0.2">
      <c r="C9" s="31"/>
      <c r="D9" s="31"/>
      <c r="E9" s="31"/>
      <c r="F9" s="31"/>
      <c r="G9" s="31"/>
      <c r="H9" s="31"/>
      <c r="I9" s="31"/>
      <c r="J9" s="31"/>
      <c r="K9" s="31"/>
      <c r="L9" s="176"/>
      <c r="M9" s="31"/>
      <c r="N9" s="31"/>
      <c r="O9" s="1"/>
    </row>
    <row r="10" spans="1:15" ht="26" customHeight="1" x14ac:dyDescent="0.3">
      <c r="C10" s="227" t="s">
        <v>518</v>
      </c>
      <c r="D10" s="227"/>
      <c r="E10" s="227"/>
      <c r="F10" s="227"/>
      <c r="G10" s="227"/>
      <c r="H10" s="227"/>
      <c r="I10" s="227"/>
      <c r="J10" s="227"/>
      <c r="K10" s="227"/>
      <c r="L10" s="227"/>
      <c r="M10" s="227"/>
      <c r="N10" s="91"/>
      <c r="O10" s="3"/>
    </row>
    <row r="11" spans="1:15" ht="26" customHeight="1" x14ac:dyDescent="0.2">
      <c r="C11" s="222" t="s">
        <v>480</v>
      </c>
      <c r="D11" s="222"/>
      <c r="E11" s="222"/>
      <c r="F11" s="222"/>
      <c r="G11" s="222"/>
      <c r="H11" s="222"/>
      <c r="I11" s="222"/>
      <c r="J11" s="222"/>
      <c r="K11" s="222"/>
      <c r="L11" s="222"/>
      <c r="M11" s="222"/>
      <c r="N11" s="31"/>
      <c r="O11" s="1"/>
    </row>
    <row r="12" spans="1:15" ht="25.25" customHeight="1" x14ac:dyDescent="0.2">
      <c r="C12" s="222" t="s">
        <v>522</v>
      </c>
      <c r="D12" s="222"/>
      <c r="E12" s="222"/>
      <c r="F12" s="222"/>
      <c r="G12" s="222"/>
      <c r="H12" s="222"/>
      <c r="I12" s="222"/>
      <c r="J12" s="222"/>
      <c r="K12" s="222"/>
      <c r="L12" s="222"/>
      <c r="M12" s="222"/>
      <c r="N12" s="31"/>
      <c r="O12" s="1"/>
    </row>
    <row r="13" spans="1:15" ht="26" customHeight="1" x14ac:dyDescent="0.2">
      <c r="C13" s="222" t="s">
        <v>456</v>
      </c>
      <c r="D13" s="222"/>
      <c r="E13" s="222"/>
      <c r="F13" s="222"/>
      <c r="G13" s="222"/>
      <c r="H13" s="222"/>
      <c r="I13" s="222"/>
      <c r="J13" s="222"/>
      <c r="K13" s="222"/>
      <c r="L13" s="222"/>
      <c r="M13" s="222"/>
      <c r="N13" s="31"/>
      <c r="O13" s="1"/>
    </row>
    <row r="14" spans="1:15" ht="29" x14ac:dyDescent="0.35">
      <c r="A14" s="68"/>
      <c r="B14" s="69"/>
      <c r="C14" s="70"/>
      <c r="D14" s="71"/>
      <c r="E14" s="71"/>
      <c r="F14" s="71"/>
      <c r="G14" s="71"/>
      <c r="H14" s="71"/>
      <c r="I14" s="71"/>
      <c r="J14" s="71"/>
      <c r="K14" s="71"/>
      <c r="L14" s="177"/>
      <c r="M14" s="70"/>
      <c r="N14" s="70"/>
      <c r="O14" s="72"/>
    </row>
    <row r="15" spans="1:15" ht="29" x14ac:dyDescent="0.35">
      <c r="A15" s="68"/>
      <c r="B15" s="69"/>
      <c r="C15" s="70"/>
      <c r="D15" s="70"/>
      <c r="E15" s="70"/>
      <c r="F15" s="70"/>
      <c r="G15" s="70"/>
      <c r="H15" s="70"/>
      <c r="I15" s="70"/>
      <c r="J15" s="70"/>
      <c r="K15" s="70"/>
      <c r="L15" s="178"/>
      <c r="M15" s="70"/>
      <c r="N15" s="70"/>
      <c r="O15" s="72"/>
    </row>
    <row r="16" spans="1:15" ht="30" x14ac:dyDescent="0.35">
      <c r="A16" s="68"/>
      <c r="B16" s="70" t="s">
        <v>326</v>
      </c>
      <c r="C16" s="72">
        <f>'Full Estimate'!C17</f>
        <v>0</v>
      </c>
      <c r="D16" s="73"/>
      <c r="E16" s="73"/>
      <c r="F16" s="70"/>
      <c r="G16" s="70"/>
      <c r="H16" s="70"/>
      <c r="I16" s="70"/>
      <c r="J16" s="70"/>
      <c r="K16" s="70" t="s">
        <v>335</v>
      </c>
      <c r="L16" s="179">
        <f>'Full Estimate'!L17</f>
        <v>0</v>
      </c>
      <c r="M16" s="173"/>
      <c r="N16" s="173"/>
      <c r="O16" s="72"/>
    </row>
    <row r="17" spans="1:15" ht="29" x14ac:dyDescent="0.35">
      <c r="A17" s="68"/>
      <c r="B17" s="69"/>
      <c r="C17" s="70"/>
      <c r="D17" s="70"/>
      <c r="E17" s="70"/>
      <c r="F17" s="70"/>
      <c r="G17" s="70"/>
      <c r="H17" s="70"/>
      <c r="I17" s="70"/>
      <c r="J17" s="70"/>
      <c r="K17" s="70"/>
      <c r="L17" s="178"/>
      <c r="M17" s="70"/>
      <c r="N17" s="70"/>
      <c r="O17" s="72"/>
    </row>
    <row r="18" spans="1:15" ht="29" x14ac:dyDescent="0.35">
      <c r="A18" s="68"/>
      <c r="B18" s="69"/>
      <c r="C18" s="70"/>
      <c r="D18" s="70"/>
      <c r="E18" s="70"/>
      <c r="F18" s="70"/>
      <c r="G18" s="70"/>
      <c r="H18" s="70"/>
      <c r="I18" s="70"/>
      <c r="J18" s="70"/>
      <c r="K18" s="70"/>
      <c r="L18" s="178"/>
      <c r="M18" s="70"/>
      <c r="N18" s="70"/>
      <c r="O18" s="72"/>
    </row>
    <row r="19" spans="1:15" ht="29" customHeight="1" x14ac:dyDescent="0.35">
      <c r="A19" s="68"/>
      <c r="B19" s="223" t="s">
        <v>327</v>
      </c>
      <c r="C19" s="223"/>
      <c r="D19" s="223"/>
      <c r="E19" s="223"/>
      <c r="F19" s="223"/>
      <c r="G19" s="223"/>
      <c r="H19" s="223"/>
      <c r="I19" s="223"/>
      <c r="J19" s="223"/>
      <c r="K19" s="223"/>
      <c r="L19" s="223"/>
      <c r="M19" s="223"/>
      <c r="N19" s="223"/>
      <c r="O19" s="72"/>
    </row>
    <row r="20" spans="1:15" ht="29" x14ac:dyDescent="0.35">
      <c r="A20" s="68"/>
      <c r="B20" s="223"/>
      <c r="C20" s="223"/>
      <c r="D20" s="223"/>
      <c r="E20" s="223"/>
      <c r="F20" s="223"/>
      <c r="G20" s="223"/>
      <c r="H20" s="223"/>
      <c r="I20" s="223"/>
      <c r="J20" s="223"/>
      <c r="K20" s="223"/>
      <c r="L20" s="223"/>
      <c r="M20" s="223"/>
      <c r="N20" s="223"/>
      <c r="O20" s="72"/>
    </row>
    <row r="21" spans="1:15" ht="29" x14ac:dyDescent="0.35">
      <c r="A21" s="68"/>
      <c r="B21" s="69"/>
      <c r="C21" s="73"/>
      <c r="D21" s="73"/>
      <c r="E21" s="73"/>
      <c r="F21" s="73"/>
      <c r="G21" s="73"/>
      <c r="H21" s="73"/>
      <c r="I21" s="73"/>
      <c r="J21" s="73"/>
      <c r="K21" s="73"/>
      <c r="L21" s="178"/>
      <c r="M21" s="73"/>
      <c r="N21" s="74"/>
      <c r="O21" s="68"/>
    </row>
    <row r="22" spans="1:15" ht="29" customHeight="1" x14ac:dyDescent="0.35">
      <c r="A22" s="68"/>
      <c r="B22" s="224" t="s">
        <v>459</v>
      </c>
      <c r="C22" s="224"/>
      <c r="D22" s="224"/>
      <c r="E22" s="224"/>
      <c r="F22" s="224"/>
      <c r="G22" s="224"/>
      <c r="H22" s="224"/>
      <c r="I22" s="224"/>
      <c r="J22" s="224"/>
      <c r="K22" s="224"/>
      <c r="L22" s="224"/>
      <c r="M22" s="224"/>
      <c r="N22" s="224"/>
      <c r="O22" s="68"/>
    </row>
    <row r="23" spans="1:15" ht="63" customHeight="1" x14ac:dyDescent="0.35">
      <c r="A23" s="68"/>
      <c r="B23" s="224"/>
      <c r="C23" s="224"/>
      <c r="D23" s="224"/>
      <c r="E23" s="224"/>
      <c r="F23" s="224"/>
      <c r="G23" s="224"/>
      <c r="H23" s="224"/>
      <c r="I23" s="224"/>
      <c r="J23" s="224"/>
      <c r="K23" s="224"/>
      <c r="L23" s="224"/>
      <c r="M23" s="224"/>
      <c r="N23" s="224"/>
      <c r="O23" s="68"/>
    </row>
    <row r="24" spans="1:15" ht="29" x14ac:dyDescent="0.35">
      <c r="A24" s="68"/>
      <c r="B24" s="69"/>
      <c r="C24" s="70"/>
      <c r="D24" s="70"/>
      <c r="E24" s="70"/>
      <c r="F24" s="70"/>
      <c r="G24" s="70"/>
      <c r="H24" s="70"/>
      <c r="I24" s="70"/>
      <c r="J24" s="70"/>
      <c r="K24" s="70"/>
      <c r="L24" s="178"/>
      <c r="M24" s="74"/>
      <c r="N24" s="74"/>
      <c r="O24" s="68"/>
    </row>
    <row r="25" spans="1:15" ht="29" customHeight="1" x14ac:dyDescent="0.35">
      <c r="A25" s="68"/>
      <c r="B25" s="225" t="s">
        <v>329</v>
      </c>
      <c r="C25" s="225"/>
      <c r="D25" s="225"/>
      <c r="E25" s="225"/>
      <c r="F25" s="228"/>
      <c r="G25" s="228"/>
      <c r="H25" s="228"/>
      <c r="I25" s="228"/>
      <c r="J25" s="228"/>
      <c r="K25" s="228"/>
      <c r="L25" s="178"/>
      <c r="M25" s="74"/>
      <c r="N25" s="74"/>
      <c r="O25" s="68"/>
    </row>
    <row r="26" spans="1:15" ht="29" customHeight="1" x14ac:dyDescent="0.35">
      <c r="A26" s="68"/>
      <c r="B26" s="229"/>
      <c r="C26" s="230"/>
      <c r="D26" s="230"/>
      <c r="E26" s="230"/>
      <c r="F26" s="230"/>
      <c r="G26" s="230"/>
      <c r="H26" s="230"/>
      <c r="I26" s="230"/>
      <c r="J26" s="230"/>
      <c r="K26" s="230"/>
      <c r="L26" s="230"/>
      <c r="M26" s="230"/>
      <c r="N26" s="231"/>
      <c r="O26" s="68"/>
    </row>
    <row r="27" spans="1:15" ht="29" x14ac:dyDescent="0.35">
      <c r="A27" s="68"/>
      <c r="B27" s="232"/>
      <c r="C27" s="233"/>
      <c r="D27" s="233"/>
      <c r="E27" s="233"/>
      <c r="F27" s="233"/>
      <c r="G27" s="233"/>
      <c r="H27" s="233"/>
      <c r="I27" s="233"/>
      <c r="J27" s="233"/>
      <c r="K27" s="233"/>
      <c r="L27" s="233"/>
      <c r="M27" s="233"/>
      <c r="N27" s="234"/>
      <c r="O27" s="68"/>
    </row>
    <row r="28" spans="1:15" ht="29" x14ac:dyDescent="0.35">
      <c r="A28" s="68"/>
      <c r="B28" s="92"/>
      <c r="C28" s="92"/>
      <c r="D28" s="92"/>
      <c r="E28" s="92"/>
      <c r="F28" s="92"/>
      <c r="G28" s="92"/>
      <c r="H28" s="92"/>
      <c r="I28" s="92"/>
      <c r="J28" s="92"/>
      <c r="K28" s="92"/>
      <c r="L28" s="180"/>
      <c r="M28" s="92"/>
      <c r="N28" s="92"/>
      <c r="O28" s="68"/>
    </row>
    <row r="29" spans="1:15" ht="29" x14ac:dyDescent="0.35">
      <c r="A29" s="68"/>
      <c r="B29" s="92"/>
      <c r="C29" s="92"/>
      <c r="D29" s="92"/>
      <c r="E29" s="92"/>
      <c r="F29" s="92"/>
      <c r="G29" s="92"/>
      <c r="H29" s="92"/>
      <c r="I29" s="92"/>
      <c r="J29" s="92"/>
      <c r="K29" s="92"/>
      <c r="L29" s="180"/>
      <c r="M29" s="92"/>
      <c r="N29" s="92"/>
      <c r="O29" s="68"/>
    </row>
    <row r="30" spans="1:15" ht="29" customHeight="1" x14ac:dyDescent="0.35">
      <c r="A30" s="68"/>
      <c r="B30" s="238" t="s">
        <v>328</v>
      </c>
      <c r="C30" s="238"/>
      <c r="D30" s="238"/>
      <c r="E30" s="238"/>
      <c r="F30" s="238"/>
      <c r="G30" s="238"/>
      <c r="H30" s="238"/>
      <c r="I30" s="238"/>
      <c r="J30" s="238"/>
      <c r="K30" s="238"/>
      <c r="L30" s="238"/>
      <c r="M30" s="74"/>
      <c r="N30" s="74"/>
      <c r="O30" s="68"/>
    </row>
    <row r="31" spans="1:15" ht="17" thickBot="1" x14ac:dyDescent="0.25">
      <c r="C31" s="30"/>
    </row>
    <row r="32" spans="1:15" ht="30" thickBot="1" x14ac:dyDescent="0.4">
      <c r="A32" s="35"/>
      <c r="B32" s="243" t="s">
        <v>357</v>
      </c>
      <c r="C32" s="243"/>
      <c r="D32" s="243"/>
      <c r="E32" s="243"/>
      <c r="F32" s="243"/>
      <c r="G32" s="243"/>
      <c r="H32" s="243"/>
      <c r="I32" s="243"/>
      <c r="J32" s="243"/>
      <c r="K32" s="55"/>
      <c r="L32" s="244">
        <f>M42</f>
        <v>0</v>
      </c>
      <c r="M32" s="245"/>
      <c r="N32" s="246"/>
      <c r="O32" s="35"/>
    </row>
    <row r="33" spans="1:15" ht="26" x14ac:dyDescent="0.3">
      <c r="A33" s="35"/>
      <c r="B33" s="33"/>
      <c r="C33" s="49"/>
      <c r="D33" s="49"/>
      <c r="E33" s="49"/>
      <c r="F33" s="49"/>
      <c r="G33" s="49"/>
      <c r="H33" s="50"/>
      <c r="I33" s="50"/>
      <c r="J33" s="48"/>
      <c r="K33" s="50"/>
      <c r="L33" s="168"/>
      <c r="M33" s="48"/>
      <c r="N33" s="34"/>
      <c r="O33" s="35"/>
    </row>
    <row r="34" spans="1:15" ht="22" thickBot="1" x14ac:dyDescent="0.3">
      <c r="A34" s="35"/>
      <c r="B34" s="33"/>
      <c r="C34" s="28"/>
      <c r="D34" s="28"/>
      <c r="E34" s="28"/>
      <c r="F34" s="28"/>
      <c r="G34" s="28"/>
      <c r="H34" s="33"/>
      <c r="I34" s="33"/>
      <c r="J34" s="34"/>
      <c r="K34" s="33"/>
      <c r="L34" s="182"/>
      <c r="M34" s="34"/>
      <c r="N34" s="34"/>
      <c r="O34" s="35"/>
    </row>
    <row r="35" spans="1:15" ht="46" x14ac:dyDescent="0.4">
      <c r="A35" s="119"/>
      <c r="B35" s="119"/>
      <c r="C35" s="162"/>
      <c r="D35" s="121" t="s">
        <v>0</v>
      </c>
      <c r="E35" s="249" t="s">
        <v>1</v>
      </c>
      <c r="F35" s="249"/>
      <c r="G35" s="122"/>
      <c r="H35" s="122" t="s">
        <v>31</v>
      </c>
      <c r="I35" s="122" t="s">
        <v>396</v>
      </c>
      <c r="J35" s="122" t="s">
        <v>7</v>
      </c>
      <c r="K35" s="123" t="s">
        <v>4</v>
      </c>
      <c r="L35" s="183" t="s">
        <v>5</v>
      </c>
      <c r="M35" s="123" t="s">
        <v>6</v>
      </c>
      <c r="N35" s="124"/>
      <c r="O35" s="120"/>
    </row>
    <row r="36" spans="1:15" ht="25" x14ac:dyDescent="0.3">
      <c r="A36" s="53"/>
      <c r="B36" s="53"/>
      <c r="C36" s="125"/>
      <c r="D36" s="109" t="s">
        <v>545</v>
      </c>
      <c r="E36" s="215" t="str">
        <f>VLOOKUP($D36,Table1[#All],2,FALSE)</f>
        <v>CBCT Capture Single Tooth</v>
      </c>
      <c r="F36" s="215"/>
      <c r="G36" s="215"/>
      <c r="H36" s="110" t="str">
        <f>VLOOKUP($D36,Table1[#All],3,FALSE)</f>
        <v>IZ01.2</v>
      </c>
      <c r="I36" s="110"/>
      <c r="J36" s="111"/>
      <c r="K36" s="112">
        <f>VLOOKUP($D36,Table1[#All],4,FALSE)</f>
        <v>2068</v>
      </c>
      <c r="L36" s="109"/>
      <c r="M36" s="114">
        <f t="shared" ref="M36" si="0">+K36*L36</f>
        <v>0</v>
      </c>
      <c r="N36" s="126"/>
      <c r="O36" s="52"/>
    </row>
    <row r="37" spans="1:15" ht="25" x14ac:dyDescent="0.3">
      <c r="A37" s="53"/>
      <c r="B37" s="53"/>
      <c r="C37" s="125"/>
      <c r="D37" s="109" t="s">
        <v>546</v>
      </c>
      <c r="E37" s="215" t="str">
        <f>VLOOKUP($D37,Table1[#All],2,FALSE)</f>
        <v>CBCT Capture Quadrant</v>
      </c>
      <c r="F37" s="215"/>
      <c r="G37" s="215"/>
      <c r="H37" s="110" t="str">
        <f>VLOOKUP($D37,Table1[#All],3,FALSE)</f>
        <v>IZ01.2</v>
      </c>
      <c r="I37" s="110"/>
      <c r="J37" s="111"/>
      <c r="K37" s="112">
        <f>VLOOKUP($D37,Table1[#All],4,FALSE)</f>
        <v>2169</v>
      </c>
      <c r="L37" s="109"/>
      <c r="M37" s="114">
        <f>+K37*L37</f>
        <v>0</v>
      </c>
      <c r="N37" s="126"/>
      <c r="O37" s="52"/>
    </row>
    <row r="38" spans="1:15" ht="25" x14ac:dyDescent="0.3">
      <c r="A38" s="53"/>
      <c r="B38" s="53"/>
      <c r="C38" s="125"/>
      <c r="D38" s="109">
        <v>8206</v>
      </c>
      <c r="E38" s="215" t="str">
        <f>VLOOKUP($D38,Table1[#All],2,FALSE)</f>
        <v>CBCT Capture Mandible</v>
      </c>
      <c r="F38" s="215"/>
      <c r="G38" s="215"/>
      <c r="H38" s="110" t="str">
        <f>VLOOKUP($D38,Table1[#All],3,FALSE)</f>
        <v>IZ01.2</v>
      </c>
      <c r="I38" s="110"/>
      <c r="J38" s="111"/>
      <c r="K38" s="112">
        <f>VLOOKUP($D38,Table1[#All],4,FALSE)</f>
        <v>3129</v>
      </c>
      <c r="L38" s="109"/>
      <c r="M38" s="114">
        <f>+K38*L38</f>
        <v>0</v>
      </c>
      <c r="N38" s="126"/>
      <c r="O38" s="52"/>
    </row>
    <row r="39" spans="1:15" ht="25" x14ac:dyDescent="0.3">
      <c r="A39" s="53"/>
      <c r="B39" s="53"/>
      <c r="C39" s="125"/>
      <c r="D39" s="109">
        <v>8207</v>
      </c>
      <c r="E39" s="215" t="str">
        <f>VLOOKUP($D39,Table1[#All],2,FALSE)</f>
        <v>CBCT Capture Maxilla</v>
      </c>
      <c r="F39" s="215"/>
      <c r="G39" s="215"/>
      <c r="H39" s="110" t="str">
        <f>VLOOKUP($D39,Table1[#All],3,FALSE)</f>
        <v>IZ01.2</v>
      </c>
      <c r="I39" s="110"/>
      <c r="J39" s="111"/>
      <c r="K39" s="112">
        <f>VLOOKUP($D39,Table1[#All],4,FALSE)</f>
        <v>3129</v>
      </c>
      <c r="L39" s="109"/>
      <c r="M39" s="114">
        <f t="shared" ref="M39:M41" si="1">+K39*L39</f>
        <v>0</v>
      </c>
      <c r="N39" s="126"/>
      <c r="O39" s="52"/>
    </row>
    <row r="40" spans="1:15" ht="25" x14ac:dyDescent="0.3">
      <c r="A40" s="53"/>
      <c r="B40" s="53"/>
      <c r="C40" s="125"/>
      <c r="D40" s="109">
        <v>8208</v>
      </c>
      <c r="E40" s="215" t="str">
        <f>VLOOKUP($D40,Table1[#All],2,FALSE)</f>
        <v>CBCT Capture Upper and Lower Jaws</v>
      </c>
      <c r="F40" s="215"/>
      <c r="G40" s="215"/>
      <c r="H40" s="110" t="str">
        <f>VLOOKUP($D40,Table1[#All],3,FALSE)</f>
        <v>IZ01.2</v>
      </c>
      <c r="I40" s="110"/>
      <c r="J40" s="111"/>
      <c r="K40" s="112">
        <f>VLOOKUP($D40,Table1[#All],4,FALSE)</f>
        <v>4188</v>
      </c>
      <c r="L40" s="109"/>
      <c r="M40" s="114">
        <f t="shared" si="1"/>
        <v>0</v>
      </c>
      <c r="N40" s="126"/>
      <c r="O40" s="52"/>
    </row>
    <row r="41" spans="1:15" ht="26" thickBot="1" x14ac:dyDescent="0.35">
      <c r="A41" s="53"/>
      <c r="B41" s="53"/>
      <c r="C41" s="125"/>
      <c r="D41" s="109">
        <v>8211</v>
      </c>
      <c r="E41" s="215" t="str">
        <f>VLOOKUP($D41,Table1[#All],2,FALSE)</f>
        <v>CBCT Capture Full Head</v>
      </c>
      <c r="F41" s="215"/>
      <c r="G41" s="215"/>
      <c r="H41" s="110" t="str">
        <f>VLOOKUP($D41,Table1[#All],3,FALSE)</f>
        <v>IZ01.2</v>
      </c>
      <c r="I41" s="110"/>
      <c r="J41" s="111"/>
      <c r="K41" s="112">
        <f>VLOOKUP($D41,Table1[#All],4,FALSE)</f>
        <v>4188</v>
      </c>
      <c r="L41" s="109"/>
      <c r="M41" s="114">
        <f t="shared" si="1"/>
        <v>0</v>
      </c>
      <c r="N41" s="126"/>
      <c r="O41" s="52"/>
    </row>
    <row r="42" spans="1:15" ht="35" customHeight="1" thickBot="1" x14ac:dyDescent="0.3">
      <c r="A42" s="142"/>
      <c r="B42" s="142"/>
      <c r="C42" s="242"/>
      <c r="D42" s="242"/>
      <c r="E42" s="242"/>
      <c r="F42" s="242"/>
      <c r="G42" s="264" t="s">
        <v>517</v>
      </c>
      <c r="H42" s="264"/>
      <c r="I42" s="264"/>
      <c r="J42" s="264"/>
      <c r="K42" s="264"/>
      <c r="L42" s="264"/>
      <c r="M42" s="175">
        <f>SUM(M36:M41)</f>
        <v>0</v>
      </c>
      <c r="N42" s="143"/>
      <c r="O42" s="144"/>
    </row>
    <row r="43" spans="1:15" ht="36" customHeight="1" x14ac:dyDescent="0.3">
      <c r="A43" s="53"/>
      <c r="B43" s="53"/>
      <c r="C43" s="221"/>
      <c r="D43" s="221"/>
      <c r="E43" s="221"/>
      <c r="F43" s="221"/>
      <c r="G43" s="221"/>
      <c r="H43" s="221"/>
      <c r="I43" s="221"/>
      <c r="J43" s="221"/>
      <c r="K43" s="221"/>
      <c r="L43" s="221"/>
      <c r="M43" s="221"/>
      <c r="N43" s="115"/>
      <c r="O43" s="52"/>
    </row>
    <row r="44" spans="1:15" ht="24" x14ac:dyDescent="0.3">
      <c r="A44" s="53"/>
      <c r="B44" s="52"/>
      <c r="C44" s="56"/>
      <c r="D44" s="52"/>
      <c r="E44" s="52"/>
      <c r="F44" s="52"/>
      <c r="G44" s="52"/>
      <c r="H44" s="52"/>
      <c r="I44" s="52"/>
      <c r="J44" s="54"/>
      <c r="K44" s="52"/>
      <c r="L44" s="184"/>
      <c r="M44" s="54"/>
      <c r="N44" s="54"/>
      <c r="O44" s="53"/>
    </row>
    <row r="45" spans="1:15" ht="26" x14ac:dyDescent="0.3">
      <c r="A45" s="53"/>
      <c r="B45" s="52"/>
      <c r="C45" s="56"/>
      <c r="D45" s="52"/>
      <c r="E45" s="52"/>
      <c r="F45" s="52"/>
      <c r="G45" s="52"/>
      <c r="H45" s="52"/>
      <c r="I45" s="52"/>
      <c r="J45" s="54"/>
      <c r="K45" s="52"/>
      <c r="L45" s="184"/>
      <c r="M45" s="54"/>
      <c r="N45" s="54"/>
      <c r="O45" s="75"/>
    </row>
    <row r="46" spans="1:15" ht="26" customHeight="1" x14ac:dyDescent="0.3">
      <c r="A46" s="75"/>
      <c r="B46" s="76"/>
      <c r="C46" s="77"/>
      <c r="D46" s="76"/>
      <c r="E46" s="76"/>
      <c r="F46" s="76"/>
      <c r="G46" s="76"/>
      <c r="H46" s="76"/>
      <c r="I46" s="76"/>
      <c r="J46" s="78"/>
      <c r="K46" s="76"/>
      <c r="L46" s="167"/>
      <c r="M46" s="78"/>
      <c r="N46" s="78"/>
      <c r="O46" s="75"/>
    </row>
    <row r="47" spans="1:15" ht="26" x14ac:dyDescent="0.3">
      <c r="A47" s="75"/>
      <c r="B47" s="214" t="s">
        <v>376</v>
      </c>
      <c r="C47" s="214"/>
      <c r="D47" s="214"/>
      <c r="E47" s="214"/>
      <c r="F47" s="214"/>
      <c r="G47" s="214"/>
      <c r="H47" s="214"/>
      <c r="I47" s="214"/>
      <c r="J47" s="214"/>
      <c r="K47" s="214"/>
      <c r="L47" s="214"/>
      <c r="M47" s="78"/>
      <c r="N47" s="78"/>
      <c r="O47" s="75"/>
    </row>
    <row r="48" spans="1:15" ht="26" x14ac:dyDescent="0.3">
      <c r="A48" s="75"/>
      <c r="B48" s="76"/>
      <c r="C48" s="77"/>
      <c r="D48" s="76"/>
      <c r="E48" s="76"/>
      <c r="F48" s="76"/>
      <c r="G48" s="76"/>
      <c r="H48" s="76"/>
      <c r="I48" s="76"/>
      <c r="J48" s="78"/>
      <c r="K48" s="76"/>
      <c r="L48" s="167"/>
      <c r="M48" s="78"/>
      <c r="N48" s="78"/>
      <c r="O48" s="75"/>
    </row>
    <row r="49" spans="1:15" ht="26" x14ac:dyDescent="0.3">
      <c r="A49" s="75"/>
      <c r="B49" s="214" t="s">
        <v>368</v>
      </c>
      <c r="C49" s="214"/>
      <c r="D49" s="214"/>
      <c r="E49" s="214"/>
      <c r="F49" s="214"/>
      <c r="G49" s="214"/>
      <c r="H49" s="214"/>
      <c r="I49" s="214"/>
      <c r="J49" s="214"/>
      <c r="K49" s="214"/>
      <c r="L49" s="214"/>
      <c r="M49" s="214"/>
      <c r="N49" s="214"/>
      <c r="O49" s="75"/>
    </row>
    <row r="50" spans="1:15" ht="26" x14ac:dyDescent="0.3">
      <c r="A50" s="75"/>
      <c r="B50" s="76"/>
      <c r="C50" s="77"/>
      <c r="D50" s="77"/>
      <c r="E50" s="77"/>
      <c r="F50" s="77"/>
      <c r="G50" s="77"/>
      <c r="H50" s="77"/>
      <c r="I50" s="77"/>
      <c r="J50" s="77"/>
      <c r="K50" s="77"/>
      <c r="L50" s="165"/>
      <c r="M50" s="77"/>
      <c r="N50" s="77"/>
      <c r="O50" s="75"/>
    </row>
    <row r="51" spans="1:15" ht="26" customHeight="1" x14ac:dyDescent="0.3">
      <c r="A51" s="75"/>
      <c r="B51" s="211" t="s">
        <v>466</v>
      </c>
      <c r="C51" s="211"/>
      <c r="D51" s="211"/>
      <c r="E51" s="211"/>
      <c r="F51" s="211"/>
      <c r="G51" s="211"/>
      <c r="H51" s="211"/>
      <c r="I51" s="211"/>
      <c r="J51" s="211"/>
      <c r="K51" s="211"/>
      <c r="L51" s="211"/>
      <c r="M51" s="211"/>
      <c r="N51" s="211"/>
      <c r="O51" s="75"/>
    </row>
    <row r="52" spans="1:15" ht="26" x14ac:dyDescent="0.3">
      <c r="A52" s="75"/>
      <c r="B52" s="76"/>
      <c r="C52" s="77"/>
      <c r="D52" s="51"/>
      <c r="E52" s="51"/>
      <c r="F52" s="51"/>
      <c r="G52" s="76"/>
      <c r="H52" s="76"/>
      <c r="I52" s="76"/>
      <c r="J52" s="78"/>
      <c r="K52" s="76"/>
      <c r="L52" s="167"/>
      <c r="M52" s="48"/>
      <c r="N52" s="48"/>
      <c r="O52" s="75"/>
    </row>
    <row r="53" spans="1:15" ht="26" x14ac:dyDescent="0.3">
      <c r="A53" s="75"/>
      <c r="B53" s="211" t="s">
        <v>364</v>
      </c>
      <c r="C53" s="211"/>
      <c r="D53" s="211"/>
      <c r="E53" s="211"/>
      <c r="F53" s="211"/>
      <c r="G53" s="211"/>
      <c r="H53" s="211"/>
      <c r="I53" s="211"/>
      <c r="J53" s="211"/>
      <c r="K53" s="211"/>
      <c r="L53" s="211"/>
      <c r="M53" s="211"/>
      <c r="N53" s="211"/>
      <c r="O53" s="75"/>
    </row>
    <row r="54" spans="1:15" ht="26" customHeight="1" x14ac:dyDescent="0.3">
      <c r="A54" s="75"/>
      <c r="B54" s="76"/>
      <c r="C54" s="77"/>
      <c r="D54" s="51"/>
      <c r="E54" s="51"/>
      <c r="F54" s="51"/>
      <c r="G54" s="76"/>
      <c r="H54" s="76"/>
      <c r="I54" s="76"/>
      <c r="J54" s="78"/>
      <c r="K54" s="76"/>
      <c r="L54" s="167"/>
      <c r="M54" s="48"/>
      <c r="N54" s="48"/>
      <c r="O54" s="75"/>
    </row>
    <row r="55" spans="1:15" ht="26" customHeight="1" x14ac:dyDescent="0.3">
      <c r="A55" s="75"/>
      <c r="B55" s="50" t="s">
        <v>471</v>
      </c>
      <c r="C55" s="77"/>
      <c r="D55" s="51"/>
      <c r="E55" s="51"/>
      <c r="F55" s="51"/>
      <c r="G55" s="76"/>
      <c r="H55" s="76"/>
      <c r="I55" s="76"/>
      <c r="J55" s="78"/>
      <c r="K55" s="76"/>
      <c r="L55" s="167"/>
      <c r="M55" s="48"/>
      <c r="N55" s="48"/>
      <c r="O55" s="75"/>
    </row>
    <row r="56" spans="1:15" ht="27" thickBot="1" x14ac:dyDescent="0.35">
      <c r="A56" s="75"/>
      <c r="B56" s="76"/>
      <c r="C56" s="77"/>
      <c r="D56" s="51"/>
      <c r="E56" s="51"/>
      <c r="F56" s="51"/>
      <c r="G56" s="76"/>
      <c r="H56" s="76"/>
      <c r="I56" s="76"/>
      <c r="J56" s="78"/>
      <c r="K56" s="76"/>
      <c r="L56" s="167"/>
      <c r="M56" s="48"/>
      <c r="N56" s="169"/>
      <c r="O56" s="75"/>
    </row>
    <row r="57" spans="1:15" ht="26" customHeight="1" thickBot="1" x14ac:dyDescent="0.35">
      <c r="A57" s="75"/>
      <c r="B57" s="166" t="s">
        <v>520</v>
      </c>
      <c r="C57" s="77"/>
      <c r="D57" s="51"/>
      <c r="E57" s="51"/>
      <c r="F57" s="51"/>
      <c r="G57" s="76"/>
      <c r="H57" s="76"/>
      <c r="I57" s="76"/>
      <c r="J57" s="78"/>
      <c r="K57" s="76"/>
      <c r="L57" s="167"/>
      <c r="M57" s="48"/>
      <c r="N57" s="170"/>
      <c r="O57" s="75"/>
    </row>
    <row r="58" spans="1:15" ht="26" x14ac:dyDescent="0.3">
      <c r="A58" s="75"/>
      <c r="B58" s="76"/>
      <c r="C58" s="77"/>
      <c r="D58" s="213"/>
      <c r="E58" s="213"/>
      <c r="F58" s="213"/>
      <c r="G58" s="213"/>
      <c r="H58" s="213"/>
      <c r="I58" s="213"/>
      <c r="J58" s="213"/>
      <c r="K58" s="213"/>
      <c r="L58" s="213"/>
      <c r="M58" s="213"/>
      <c r="N58" s="169" t="s">
        <v>477</v>
      </c>
      <c r="O58" s="75"/>
    </row>
    <row r="59" spans="1:15" ht="26" customHeight="1" x14ac:dyDescent="0.3">
      <c r="A59" s="75"/>
      <c r="B59" s="76"/>
      <c r="C59" s="77"/>
      <c r="D59" s="51"/>
      <c r="E59" s="51"/>
      <c r="F59" s="51"/>
      <c r="G59" s="76"/>
      <c r="H59" s="76"/>
      <c r="I59" s="76"/>
      <c r="J59" s="78"/>
      <c r="K59" s="76"/>
      <c r="L59" s="167"/>
      <c r="M59" s="48"/>
      <c r="N59" s="169"/>
      <c r="O59" s="75"/>
    </row>
    <row r="60" spans="1:15" ht="26" customHeight="1" x14ac:dyDescent="0.3">
      <c r="A60" s="75"/>
      <c r="B60" s="76"/>
      <c r="C60" s="77"/>
      <c r="D60" s="51"/>
      <c r="E60" s="51"/>
      <c r="F60" s="51"/>
      <c r="G60" s="76"/>
      <c r="H60" s="76"/>
      <c r="I60" s="76"/>
      <c r="J60" s="78"/>
      <c r="K60" s="76"/>
      <c r="L60" s="167"/>
      <c r="M60" s="48"/>
      <c r="N60" s="48"/>
      <c r="O60" s="59"/>
    </row>
    <row r="61" spans="1:15" ht="26" customHeight="1" x14ac:dyDescent="0.3">
      <c r="A61" s="75"/>
      <c r="B61" s="49" t="s">
        <v>330</v>
      </c>
      <c r="C61" s="79"/>
      <c r="D61" s="51"/>
      <c r="E61" s="51"/>
      <c r="F61" s="51"/>
      <c r="G61" s="76"/>
      <c r="H61" s="76"/>
      <c r="I61" s="76"/>
      <c r="J61" s="78"/>
      <c r="K61" s="76"/>
      <c r="L61" s="167"/>
      <c r="M61" s="48"/>
      <c r="N61" s="78"/>
      <c r="O61" s="59"/>
    </row>
    <row r="62" spans="1:15" ht="25.25" customHeight="1" x14ac:dyDescent="0.3">
      <c r="A62" s="75"/>
      <c r="B62" s="211" t="s">
        <v>361</v>
      </c>
      <c r="C62" s="211"/>
      <c r="D62" s="211"/>
      <c r="E62" s="211"/>
      <c r="F62" s="211"/>
      <c r="G62" s="211"/>
      <c r="H62" s="211"/>
      <c r="I62" s="211"/>
      <c r="J62" s="211"/>
      <c r="K62" s="211"/>
      <c r="L62" s="211"/>
      <c r="M62" s="211"/>
      <c r="N62" s="211"/>
      <c r="O62" s="59"/>
    </row>
    <row r="63" spans="1:15" ht="26" customHeight="1" x14ac:dyDescent="0.3">
      <c r="A63" s="75"/>
      <c r="B63" s="76"/>
      <c r="C63" s="214"/>
      <c r="D63" s="214"/>
      <c r="E63" s="214"/>
      <c r="F63" s="214"/>
      <c r="G63" s="214"/>
      <c r="H63" s="214"/>
      <c r="I63" s="214"/>
      <c r="J63" s="214"/>
      <c r="K63" s="214"/>
      <c r="L63" s="214"/>
      <c r="M63" s="78"/>
      <c r="N63" s="78"/>
      <c r="O63" s="53"/>
    </row>
    <row r="64" spans="1:15" ht="50" customHeight="1" x14ac:dyDescent="0.3">
      <c r="A64" s="75"/>
      <c r="B64" s="49" t="s">
        <v>331</v>
      </c>
      <c r="C64" s="79"/>
      <c r="D64" s="77"/>
      <c r="E64" s="77"/>
      <c r="F64" s="77"/>
      <c r="G64" s="77"/>
      <c r="H64" s="77"/>
      <c r="I64" s="77"/>
      <c r="J64" s="78"/>
      <c r="K64" s="76"/>
      <c r="L64" s="167"/>
      <c r="M64" s="78"/>
      <c r="N64" s="78"/>
      <c r="O64" s="53"/>
    </row>
    <row r="65" spans="1:15" ht="25.25" customHeight="1" x14ac:dyDescent="0.3">
      <c r="A65" s="75"/>
      <c r="B65" s="211" t="s">
        <v>461</v>
      </c>
      <c r="C65" s="211"/>
      <c r="D65" s="211"/>
      <c r="E65" s="211"/>
      <c r="F65" s="211"/>
      <c r="G65" s="211"/>
      <c r="H65" s="211"/>
      <c r="I65" s="211"/>
      <c r="J65" s="211"/>
      <c r="K65" s="211"/>
      <c r="L65" s="211"/>
      <c r="M65" s="211"/>
      <c r="N65" s="211"/>
      <c r="O65" s="53"/>
    </row>
    <row r="66" spans="1:15" ht="26" customHeight="1" x14ac:dyDescent="0.3">
      <c r="A66" s="75"/>
      <c r="B66" s="211" t="s">
        <v>362</v>
      </c>
      <c r="C66" s="211"/>
      <c r="D66" s="211"/>
      <c r="E66" s="211"/>
      <c r="F66" s="211"/>
      <c r="G66" s="211"/>
      <c r="H66" s="211"/>
      <c r="I66" s="211"/>
      <c r="J66" s="211"/>
      <c r="K66" s="211"/>
      <c r="L66" s="211"/>
      <c r="M66" s="211"/>
      <c r="N66" s="211"/>
      <c r="O66" s="53"/>
    </row>
    <row r="67" spans="1:15" ht="26" customHeight="1" x14ac:dyDescent="0.3">
      <c r="A67" s="75"/>
      <c r="B67" s="76"/>
      <c r="C67" s="77"/>
      <c r="D67" s="77"/>
      <c r="E67" s="77"/>
      <c r="F67" s="77"/>
      <c r="G67" s="77"/>
      <c r="H67" s="77"/>
      <c r="I67" s="77"/>
      <c r="J67" s="78"/>
      <c r="K67" s="76"/>
      <c r="L67" s="167"/>
      <c r="M67" s="78"/>
      <c r="N67" s="78"/>
      <c r="O67" s="53"/>
    </row>
    <row r="68" spans="1:15" ht="26" x14ac:dyDescent="0.3">
      <c r="A68" s="75"/>
      <c r="B68" s="211" t="s">
        <v>363</v>
      </c>
      <c r="C68" s="211"/>
      <c r="D68" s="211"/>
      <c r="E68" s="211"/>
      <c r="F68" s="211"/>
      <c r="G68" s="211"/>
      <c r="H68" s="211"/>
      <c r="I68" s="211"/>
      <c r="J68" s="211"/>
      <c r="K68" s="211"/>
      <c r="L68" s="211"/>
      <c r="M68" s="211"/>
      <c r="N68" s="211"/>
      <c r="O68" s="53"/>
    </row>
    <row r="69" spans="1:15" ht="26" customHeight="1" x14ac:dyDescent="0.3">
      <c r="A69" s="75"/>
      <c r="B69" s="76"/>
      <c r="C69" s="77"/>
      <c r="D69" s="51"/>
      <c r="E69" s="51"/>
      <c r="F69" s="51"/>
      <c r="G69" s="76"/>
      <c r="H69" s="76"/>
      <c r="I69" s="76"/>
      <c r="J69" s="78"/>
      <c r="K69" s="76"/>
      <c r="L69" s="167"/>
      <c r="M69" s="78"/>
      <c r="N69" s="78"/>
      <c r="O69" s="53"/>
    </row>
    <row r="70" spans="1:15" ht="26" x14ac:dyDescent="0.3">
      <c r="A70" s="75"/>
      <c r="B70" s="214" t="s">
        <v>359</v>
      </c>
      <c r="C70" s="214"/>
      <c r="D70" s="214"/>
      <c r="E70" s="214"/>
      <c r="F70" s="214"/>
      <c r="G70" s="214"/>
      <c r="H70" s="214"/>
      <c r="I70" s="214"/>
      <c r="J70" s="214"/>
      <c r="K70" s="214"/>
      <c r="L70" s="214"/>
      <c r="M70" s="78"/>
      <c r="N70" s="78"/>
      <c r="O70" s="53"/>
    </row>
    <row r="71" spans="1:15" ht="26" x14ac:dyDescent="0.3">
      <c r="A71" s="75"/>
      <c r="B71" s="211" t="s">
        <v>360</v>
      </c>
      <c r="C71" s="211"/>
      <c r="D71" s="211"/>
      <c r="E71" s="211"/>
      <c r="F71" s="211"/>
      <c r="G71" s="211"/>
      <c r="H71" s="211"/>
      <c r="I71" s="211"/>
      <c r="J71" s="211"/>
      <c r="K71" s="211"/>
      <c r="L71" s="211"/>
      <c r="M71" s="211"/>
      <c r="N71" s="211"/>
      <c r="O71" s="75"/>
    </row>
    <row r="72" spans="1:15" ht="26" x14ac:dyDescent="0.3">
      <c r="A72" s="75"/>
      <c r="B72" s="253" t="s">
        <v>462</v>
      </c>
      <c r="C72" s="253"/>
      <c r="D72" s="253"/>
      <c r="E72" s="253"/>
      <c r="F72" s="253"/>
      <c r="G72" s="253"/>
      <c r="H72" s="253"/>
      <c r="I72" s="253"/>
      <c r="J72" s="253"/>
      <c r="K72" s="253"/>
      <c r="L72" s="253"/>
      <c r="M72" s="253"/>
      <c r="N72" s="253"/>
      <c r="O72" s="75"/>
    </row>
    <row r="73" spans="1:15" ht="24" customHeight="1" x14ac:dyDescent="0.3">
      <c r="A73" s="75"/>
      <c r="B73" s="49" t="s">
        <v>332</v>
      </c>
      <c r="C73" s="79"/>
      <c r="D73" s="77"/>
      <c r="E73" s="77"/>
      <c r="F73" s="77"/>
      <c r="G73" s="77"/>
      <c r="H73" s="77"/>
      <c r="I73" s="77"/>
      <c r="J73" s="77"/>
      <c r="K73" s="77"/>
      <c r="L73" s="165"/>
      <c r="M73" s="78"/>
      <c r="N73" s="78"/>
      <c r="O73" s="75"/>
    </row>
    <row r="74" spans="1:15" ht="24" customHeight="1" x14ac:dyDescent="0.3">
      <c r="A74" s="75"/>
      <c r="B74" s="211" t="s">
        <v>463</v>
      </c>
      <c r="C74" s="211"/>
      <c r="D74" s="211"/>
      <c r="E74" s="211"/>
      <c r="F74" s="211"/>
      <c r="G74" s="211"/>
      <c r="H74" s="211"/>
      <c r="I74" s="211"/>
      <c r="J74" s="211"/>
      <c r="K74" s="211"/>
      <c r="L74" s="211"/>
      <c r="M74" s="211"/>
      <c r="N74" s="211"/>
      <c r="O74" s="75"/>
    </row>
    <row r="75" spans="1:15" ht="30" customHeight="1" x14ac:dyDescent="0.3">
      <c r="A75" s="75"/>
      <c r="B75" s="76"/>
      <c r="C75" s="214"/>
      <c r="D75" s="214"/>
      <c r="E75" s="214"/>
      <c r="F75" s="214"/>
      <c r="G75" s="214"/>
      <c r="H75" s="214"/>
      <c r="I75" s="214"/>
      <c r="J75" s="214"/>
      <c r="K75" s="214"/>
      <c r="L75" s="214"/>
      <c r="M75" s="78"/>
      <c r="N75" s="78"/>
      <c r="O75" s="75"/>
    </row>
    <row r="76" spans="1:15" ht="28.25" customHeight="1" x14ac:dyDescent="0.3">
      <c r="A76" s="53"/>
      <c r="B76" s="57" t="s">
        <v>345</v>
      </c>
      <c r="C76" s="57"/>
      <c r="D76" s="58"/>
      <c r="E76" s="58"/>
      <c r="F76" s="58"/>
      <c r="G76" s="52"/>
      <c r="H76" s="52"/>
      <c r="I76" s="52"/>
      <c r="J76" s="54"/>
      <c r="K76" s="52"/>
      <c r="L76" s="184"/>
      <c r="M76" s="54"/>
      <c r="N76" s="54"/>
      <c r="O76" s="75"/>
    </row>
    <row r="77" spans="1:15" ht="26" customHeight="1" x14ac:dyDescent="0.3">
      <c r="A77" s="53"/>
      <c r="B77" s="52"/>
      <c r="C77" s="250"/>
      <c r="D77" s="250"/>
      <c r="E77" s="250"/>
      <c r="F77" s="250"/>
      <c r="G77" s="250"/>
      <c r="H77" s="250"/>
      <c r="I77" s="250"/>
      <c r="J77" s="250"/>
      <c r="K77" s="250"/>
      <c r="L77" s="250"/>
      <c r="M77" s="250"/>
      <c r="N77" s="250"/>
      <c r="O77" s="75"/>
    </row>
    <row r="78" spans="1:15" ht="26" customHeight="1" x14ac:dyDescent="0.3">
      <c r="A78" s="59"/>
      <c r="B78" s="251" t="s">
        <v>346</v>
      </c>
      <c r="C78" s="251"/>
      <c r="D78" s="251"/>
      <c r="E78" s="251"/>
      <c r="F78" s="251"/>
      <c r="G78" s="251"/>
      <c r="H78" s="251"/>
      <c r="I78" s="251"/>
      <c r="J78" s="251"/>
      <c r="K78" s="251"/>
      <c r="L78" s="251"/>
      <c r="M78" s="251"/>
      <c r="N78" s="251"/>
      <c r="O78" s="75"/>
    </row>
    <row r="79" spans="1:15" ht="55.25" customHeight="1" x14ac:dyDescent="0.3">
      <c r="A79" s="59"/>
      <c r="B79" s="252" t="s">
        <v>347</v>
      </c>
      <c r="C79" s="252"/>
      <c r="D79" s="252"/>
      <c r="E79" s="252"/>
      <c r="F79" s="252"/>
      <c r="G79" s="252"/>
      <c r="H79" s="252"/>
      <c r="I79" s="252"/>
      <c r="J79" s="252"/>
      <c r="K79" s="252"/>
      <c r="L79" s="252"/>
      <c r="M79" s="252"/>
      <c r="N79" s="252"/>
      <c r="O79" s="75"/>
    </row>
    <row r="80" spans="1:15" ht="130.25" customHeight="1" x14ac:dyDescent="0.3">
      <c r="A80" s="59"/>
      <c r="B80" s="56"/>
      <c r="C80" s="60" t="s">
        <v>35</v>
      </c>
      <c r="D80" s="257" t="s">
        <v>519</v>
      </c>
      <c r="E80" s="257"/>
      <c r="F80" s="257"/>
      <c r="G80" s="257"/>
      <c r="H80" s="257"/>
      <c r="I80" s="257"/>
      <c r="J80" s="257"/>
      <c r="K80" s="257"/>
      <c r="L80" s="257"/>
      <c r="M80" s="257"/>
      <c r="N80" s="64"/>
      <c r="O80" s="75"/>
    </row>
    <row r="81" spans="1:14" ht="24" x14ac:dyDescent="0.3">
      <c r="A81" s="53"/>
      <c r="B81" s="52"/>
      <c r="C81" s="60"/>
      <c r="D81" s="64"/>
      <c r="E81" s="64"/>
      <c r="F81" s="64"/>
      <c r="G81" s="60"/>
      <c r="H81" s="60"/>
      <c r="I81" s="60"/>
      <c r="J81" s="60"/>
      <c r="K81" s="60"/>
      <c r="L81" s="66"/>
      <c r="M81" s="66"/>
      <c r="N81" s="67"/>
    </row>
    <row r="82" spans="1:14" ht="26" x14ac:dyDescent="0.3">
      <c r="A82" s="75"/>
      <c r="B82" s="76"/>
      <c r="C82" s="77"/>
      <c r="D82" s="77"/>
      <c r="E82" s="77"/>
      <c r="F82" s="77"/>
      <c r="G82" s="77"/>
      <c r="H82" s="77"/>
      <c r="I82" s="77"/>
      <c r="J82" s="77"/>
      <c r="K82" s="77"/>
      <c r="L82" s="165"/>
      <c r="M82" s="78"/>
      <c r="N82" s="78"/>
    </row>
    <row r="83" spans="1:14" ht="26" x14ac:dyDescent="0.3">
      <c r="A83" s="75"/>
      <c r="B83" s="76"/>
      <c r="C83" s="77" t="s">
        <v>333</v>
      </c>
      <c r="D83" s="77" t="s">
        <v>334</v>
      </c>
      <c r="E83" s="77"/>
      <c r="F83" s="77"/>
      <c r="G83" s="77"/>
      <c r="H83" s="77" t="s">
        <v>382</v>
      </c>
      <c r="I83" s="77"/>
      <c r="J83" s="77"/>
      <c r="K83" s="77"/>
      <c r="L83" s="165"/>
      <c r="M83" s="78"/>
      <c r="N83" s="78"/>
    </row>
    <row r="84" spans="1:14" ht="26" x14ac:dyDescent="0.3">
      <c r="A84" s="75"/>
      <c r="B84" s="76"/>
      <c r="C84" s="77"/>
      <c r="D84" s="77"/>
      <c r="E84" s="77"/>
      <c r="F84" s="77"/>
      <c r="G84" s="77"/>
      <c r="H84" s="77"/>
      <c r="I84" s="77"/>
      <c r="J84" s="77"/>
      <c r="K84" s="77"/>
      <c r="L84" s="165"/>
      <c r="M84" s="78"/>
      <c r="N84" s="78"/>
    </row>
    <row r="85" spans="1:14" ht="26" x14ac:dyDescent="0.3">
      <c r="A85" s="75"/>
      <c r="B85" s="76"/>
      <c r="C85" s="77"/>
      <c r="D85" s="77"/>
      <c r="E85" s="77"/>
      <c r="F85" s="77"/>
      <c r="G85" s="77"/>
      <c r="H85" s="77"/>
      <c r="I85" s="77"/>
      <c r="J85" s="77"/>
      <c r="K85" s="77"/>
      <c r="L85" s="165"/>
      <c r="M85" s="78"/>
      <c r="N85" s="78"/>
    </row>
    <row r="86" spans="1:14" ht="26" x14ac:dyDescent="0.3">
      <c r="A86" s="75"/>
      <c r="B86" s="76"/>
      <c r="C86" s="77" t="s">
        <v>383</v>
      </c>
      <c r="D86" s="77"/>
      <c r="E86" s="77"/>
      <c r="F86" s="77"/>
      <c r="G86" s="77"/>
      <c r="H86" s="77"/>
      <c r="I86" s="77"/>
      <c r="J86" s="77"/>
      <c r="K86" s="77"/>
      <c r="L86" s="165"/>
      <c r="M86" s="78"/>
      <c r="N86" s="78"/>
    </row>
    <row r="87" spans="1:14" ht="26" x14ac:dyDescent="0.3">
      <c r="A87" s="75"/>
      <c r="B87" s="76"/>
      <c r="C87" s="77"/>
      <c r="D87" s="77"/>
      <c r="E87" s="77"/>
      <c r="F87" s="77"/>
      <c r="G87" s="77"/>
      <c r="H87" s="77"/>
      <c r="I87" s="77"/>
      <c r="J87" s="77"/>
      <c r="K87" s="77"/>
      <c r="L87" s="165"/>
      <c r="M87" s="78"/>
      <c r="N87" s="78"/>
    </row>
    <row r="88" spans="1:14" ht="26" x14ac:dyDescent="0.3">
      <c r="A88" s="75"/>
      <c r="B88" s="76"/>
      <c r="C88" s="77"/>
      <c r="D88" s="77"/>
      <c r="E88" s="77"/>
      <c r="F88" s="77"/>
      <c r="G88" s="77"/>
      <c r="H88" s="77"/>
      <c r="I88" s="77"/>
      <c r="J88" s="77"/>
      <c r="K88" s="77"/>
      <c r="L88" s="165"/>
      <c r="M88" s="78"/>
      <c r="N88" s="78"/>
    </row>
    <row r="89" spans="1:14" ht="26" x14ac:dyDescent="0.3">
      <c r="A89" s="75"/>
      <c r="B89" s="76"/>
      <c r="C89" s="77" t="s">
        <v>335</v>
      </c>
      <c r="D89" s="77" t="s">
        <v>334</v>
      </c>
      <c r="E89" s="77"/>
      <c r="F89" s="77"/>
      <c r="G89" s="77"/>
      <c r="H89" s="77"/>
      <c r="I89" s="77"/>
      <c r="J89" s="77"/>
      <c r="K89" s="77"/>
      <c r="L89" s="165"/>
      <c r="M89" s="78"/>
      <c r="N89" s="78"/>
    </row>
    <row r="90" spans="1:14" ht="26" x14ac:dyDescent="0.3">
      <c r="A90" s="75"/>
      <c r="B90" s="76"/>
      <c r="C90" s="77"/>
      <c r="D90" s="77"/>
      <c r="E90" s="77"/>
      <c r="F90" s="77"/>
      <c r="G90" s="77"/>
      <c r="H90" s="77"/>
      <c r="I90" s="77"/>
      <c r="J90" s="77"/>
      <c r="K90" s="77"/>
      <c r="L90" s="165"/>
      <c r="M90" s="78"/>
      <c r="N90" s="78"/>
    </row>
    <row r="91" spans="1:14" ht="26" x14ac:dyDescent="0.3">
      <c r="A91" s="75"/>
      <c r="B91" s="76"/>
      <c r="C91" s="77"/>
      <c r="D91" s="77"/>
      <c r="E91" s="77"/>
      <c r="F91" s="77"/>
      <c r="G91" s="77"/>
      <c r="H91" s="77"/>
      <c r="I91" s="77"/>
      <c r="J91" s="77"/>
      <c r="K91" s="77"/>
      <c r="L91" s="165"/>
      <c r="M91" s="78"/>
      <c r="N91" s="78"/>
    </row>
    <row r="92" spans="1:14" ht="26" x14ac:dyDescent="0.3">
      <c r="A92" s="75"/>
      <c r="B92" s="76"/>
      <c r="C92" s="77"/>
      <c r="D92" s="77"/>
      <c r="E92" s="77"/>
      <c r="F92" s="77"/>
      <c r="G92" s="77"/>
      <c r="H92" s="80"/>
      <c r="I92" s="80"/>
      <c r="J92" s="80" t="s">
        <v>338</v>
      </c>
      <c r="K92" s="77"/>
      <c r="L92" s="165"/>
      <c r="M92" s="78"/>
      <c r="N92" s="78"/>
    </row>
    <row r="93" spans="1:14" ht="26" x14ac:dyDescent="0.3">
      <c r="A93" s="75"/>
      <c r="B93" s="76"/>
      <c r="C93" s="77" t="s">
        <v>336</v>
      </c>
      <c r="D93" s="77"/>
      <c r="E93" s="77"/>
      <c r="F93" s="77"/>
      <c r="G93" s="77"/>
      <c r="H93" s="77"/>
      <c r="I93" s="77"/>
      <c r="J93" s="77" t="s">
        <v>339</v>
      </c>
      <c r="K93" s="77" t="s">
        <v>521</v>
      </c>
      <c r="L93" s="165"/>
      <c r="M93" s="78"/>
      <c r="N93" s="78"/>
    </row>
    <row r="94" spans="1:14" ht="26" x14ac:dyDescent="0.3">
      <c r="A94" s="75"/>
      <c r="B94" s="76"/>
      <c r="C94" s="77"/>
      <c r="D94" s="77"/>
      <c r="E94" s="77"/>
      <c r="F94" s="77"/>
      <c r="G94" s="77"/>
      <c r="H94" s="77"/>
      <c r="I94" s="77"/>
      <c r="J94" s="77" t="s">
        <v>340</v>
      </c>
      <c r="K94" s="77">
        <v>198765</v>
      </c>
      <c r="L94" s="165"/>
      <c r="M94" s="78"/>
      <c r="N94" s="78"/>
    </row>
    <row r="95" spans="1:14" ht="26" x14ac:dyDescent="0.3">
      <c r="A95" s="75"/>
      <c r="B95" s="76"/>
      <c r="C95" s="77"/>
      <c r="D95" s="77"/>
      <c r="E95" s="77"/>
      <c r="F95" s="77"/>
      <c r="G95" s="77"/>
      <c r="H95" s="77"/>
      <c r="I95" s="77"/>
      <c r="J95" s="96" t="s">
        <v>341</v>
      </c>
      <c r="K95" s="77" t="s">
        <v>518</v>
      </c>
      <c r="L95" s="165"/>
      <c r="M95" s="78"/>
      <c r="N95" s="78"/>
    </row>
    <row r="96" spans="1:14" ht="26" x14ac:dyDescent="0.3">
      <c r="A96" s="75"/>
      <c r="B96" s="76"/>
      <c r="C96" s="77"/>
      <c r="D96" s="77"/>
      <c r="E96" s="77"/>
      <c r="F96" s="77"/>
      <c r="G96" s="77"/>
      <c r="H96" s="77"/>
      <c r="I96" s="77"/>
      <c r="J96" s="77" t="s">
        <v>342</v>
      </c>
      <c r="K96" s="214">
        <v>1212904478</v>
      </c>
      <c r="L96" s="214"/>
      <c r="M96" s="214"/>
      <c r="N96" s="78"/>
    </row>
    <row r="97" spans="1:14" ht="26" x14ac:dyDescent="0.3">
      <c r="A97" s="75"/>
      <c r="B97" s="76"/>
      <c r="C97" s="216"/>
      <c r="D97" s="216"/>
      <c r="E97" s="216"/>
      <c r="F97" s="77"/>
      <c r="G97" s="77"/>
      <c r="H97" s="77"/>
      <c r="I97" s="77"/>
      <c r="J97" s="77" t="s">
        <v>343</v>
      </c>
      <c r="K97" s="77" t="s">
        <v>344</v>
      </c>
      <c r="L97" s="165"/>
      <c r="M97" s="78"/>
      <c r="N97" s="78"/>
    </row>
    <row r="98" spans="1:14" ht="45" x14ac:dyDescent="0.8">
      <c r="A98" s="75"/>
      <c r="B98" s="76"/>
      <c r="C98" s="220" t="s">
        <v>384</v>
      </c>
      <c r="D98" s="220"/>
      <c r="E98" s="220"/>
      <c r="F98" s="77"/>
      <c r="G98" s="77"/>
      <c r="H98" s="77"/>
      <c r="I98" s="77"/>
      <c r="J98" s="77"/>
      <c r="K98" s="77"/>
      <c r="L98" s="165"/>
      <c r="M98" s="78"/>
      <c r="N98" s="78"/>
    </row>
    <row r="99" spans="1:14" ht="26" x14ac:dyDescent="0.3">
      <c r="A99" s="75"/>
      <c r="B99" s="76"/>
      <c r="C99" s="217" t="s">
        <v>337</v>
      </c>
      <c r="D99" s="217"/>
      <c r="E99" s="217"/>
      <c r="F99" s="77"/>
      <c r="G99" s="77"/>
      <c r="H99" s="77"/>
      <c r="I99" s="77"/>
      <c r="J99" s="77"/>
      <c r="K99" s="77"/>
      <c r="L99" s="165"/>
      <c r="M99" s="78"/>
      <c r="N99" s="78"/>
    </row>
  </sheetData>
  <mergeCells count="46">
    <mergeCell ref="C1:L7"/>
    <mergeCell ref="C10:M10"/>
    <mergeCell ref="C11:M11"/>
    <mergeCell ref="C12:M12"/>
    <mergeCell ref="C13:M13"/>
    <mergeCell ref="B26:N27"/>
    <mergeCell ref="B19:N20"/>
    <mergeCell ref="B22:N23"/>
    <mergeCell ref="B25:E25"/>
    <mergeCell ref="F25:K25"/>
    <mergeCell ref="E38:G38"/>
    <mergeCell ref="E41:G41"/>
    <mergeCell ref="B30:L30"/>
    <mergeCell ref="B32:J32"/>
    <mergeCell ref="L32:N32"/>
    <mergeCell ref="E35:F35"/>
    <mergeCell ref="E36:G36"/>
    <mergeCell ref="E37:G37"/>
    <mergeCell ref="C42:F42"/>
    <mergeCell ref="G42:L42"/>
    <mergeCell ref="C43:M43"/>
    <mergeCell ref="B51:N51"/>
    <mergeCell ref="D80:M80"/>
    <mergeCell ref="B74:N74"/>
    <mergeCell ref="B66:N66"/>
    <mergeCell ref="C77:N77"/>
    <mergeCell ref="B78:N78"/>
    <mergeCell ref="B79:N79"/>
    <mergeCell ref="B62:N62"/>
    <mergeCell ref="C63:L63"/>
    <mergeCell ref="C99:E99"/>
    <mergeCell ref="E39:G39"/>
    <mergeCell ref="E40:G40"/>
    <mergeCell ref="K96:M96"/>
    <mergeCell ref="C97:E97"/>
    <mergeCell ref="C98:E98"/>
    <mergeCell ref="B65:N65"/>
    <mergeCell ref="B68:N68"/>
    <mergeCell ref="B70:L70"/>
    <mergeCell ref="B71:N71"/>
    <mergeCell ref="B72:N72"/>
    <mergeCell ref="C75:L75"/>
    <mergeCell ref="B47:L47"/>
    <mergeCell ref="B49:N49"/>
    <mergeCell ref="B53:N53"/>
    <mergeCell ref="D58:M58"/>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68DBA0D2-7F20-7B42-AC0A-6ADF185151EF}">
          <x14:formula1>
            <xm:f>'Lookup Items'!$B$348:$B$383</xm:f>
          </x14:formula1>
          <xm:sqref>C81</xm:sqref>
        </x14:dataValidation>
        <x14:dataValidation type="list" allowBlank="1" showInputMessage="1" showErrorMessage="1" xr:uid="{A8AD6450-56EF-D94D-B59C-0F3EC6D9FD9A}">
          <x14:formula1>
            <xm:f>'Lookup Items'!$B$3:$B$341</xm:f>
          </x14:formula1>
          <xm:sqref>D36:D41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6E6E62-10D0-774B-98BB-0E80270ED0AA}">
  <dimension ref="A1:O191"/>
  <sheetViews>
    <sheetView topLeftCell="A37" zoomScale="75" zoomScaleNormal="75" workbookViewId="0">
      <selection activeCell="C45" sqref="C45"/>
    </sheetView>
  </sheetViews>
  <sheetFormatPr baseColWidth="10" defaultColWidth="11.1640625" defaultRowHeight="16" x14ac:dyDescent="0.2"/>
  <cols>
    <col min="1" max="1" width="8" customWidth="1"/>
    <col min="2" max="2" width="10.6640625" style="25" customWidth="1"/>
    <col min="3" max="3" width="27.1640625" style="24" customWidth="1"/>
    <col min="4" max="6" width="15.5" style="25" customWidth="1"/>
    <col min="7" max="7" width="10.5" style="25" customWidth="1"/>
    <col min="8" max="9" width="13.1640625" style="25" customWidth="1"/>
    <col min="10" max="10" width="10.6640625" style="26" customWidth="1"/>
    <col min="11" max="11" width="16" style="25" customWidth="1"/>
    <col min="12" max="12" width="26.5" style="26" customWidth="1"/>
    <col min="13" max="13" width="16.1640625" style="26" customWidth="1"/>
    <col min="14" max="14" width="16.5" style="26" customWidth="1"/>
  </cols>
  <sheetData>
    <row r="1" spans="1:14" ht="215" customHeight="1" x14ac:dyDescent="0.2">
      <c r="B1" s="23"/>
      <c r="C1" s="226"/>
      <c r="D1" s="226"/>
      <c r="E1" s="226"/>
      <c r="F1" s="226"/>
      <c r="G1" s="226"/>
      <c r="H1" s="226"/>
      <c r="I1" s="226"/>
      <c r="J1" s="226"/>
      <c r="K1" s="226"/>
      <c r="L1" s="226"/>
    </row>
    <row r="2" spans="1:14" ht="24" x14ac:dyDescent="0.3">
      <c r="B2" s="32"/>
      <c r="C2" s="226"/>
      <c r="D2" s="226"/>
      <c r="E2" s="226"/>
      <c r="F2" s="226"/>
      <c r="G2" s="226"/>
      <c r="H2" s="226"/>
      <c r="I2" s="226"/>
      <c r="J2" s="226"/>
      <c r="K2" s="226"/>
      <c r="L2" s="226"/>
    </row>
    <row r="3" spans="1:14" x14ac:dyDescent="0.2">
      <c r="C3" s="226"/>
      <c r="D3" s="226"/>
      <c r="E3" s="226"/>
      <c r="F3" s="226"/>
      <c r="G3" s="226"/>
      <c r="H3" s="226"/>
      <c r="I3" s="226"/>
      <c r="J3" s="226"/>
      <c r="K3" s="226"/>
      <c r="L3" s="226"/>
    </row>
    <row r="4" spans="1:14" ht="21" x14ac:dyDescent="0.25">
      <c r="A4" s="4"/>
      <c r="B4" s="27"/>
      <c r="C4" s="226"/>
      <c r="D4" s="226"/>
      <c r="E4" s="226"/>
      <c r="F4" s="226"/>
      <c r="G4" s="226"/>
      <c r="H4" s="226"/>
      <c r="I4" s="226"/>
      <c r="J4" s="226"/>
      <c r="K4" s="226"/>
      <c r="L4" s="226"/>
      <c r="M4" s="29"/>
      <c r="N4" s="29"/>
    </row>
    <row r="5" spans="1:14" x14ac:dyDescent="0.2">
      <c r="C5" s="226"/>
      <c r="D5" s="226"/>
      <c r="E5" s="226"/>
      <c r="F5" s="226"/>
      <c r="G5" s="226"/>
      <c r="H5" s="226"/>
      <c r="I5" s="226"/>
      <c r="J5" s="226"/>
      <c r="K5" s="226"/>
      <c r="L5" s="226"/>
    </row>
    <row r="6" spans="1:14" x14ac:dyDescent="0.2">
      <c r="C6" s="226"/>
      <c r="D6" s="226"/>
      <c r="E6" s="226"/>
      <c r="F6" s="226"/>
      <c r="G6" s="226"/>
      <c r="H6" s="226"/>
      <c r="I6" s="226"/>
      <c r="J6" s="226"/>
      <c r="K6" s="226"/>
      <c r="L6" s="226"/>
    </row>
    <row r="7" spans="1:14" x14ac:dyDescent="0.2">
      <c r="C7" s="226"/>
      <c r="D7" s="226"/>
      <c r="E7" s="226"/>
      <c r="F7" s="226"/>
      <c r="G7" s="226"/>
      <c r="H7" s="226"/>
      <c r="I7" s="226"/>
      <c r="J7" s="226"/>
      <c r="K7" s="226"/>
      <c r="L7" s="226"/>
    </row>
    <row r="8" spans="1:14" x14ac:dyDescent="0.2">
      <c r="C8" s="31"/>
      <c r="D8" s="31"/>
      <c r="E8" s="31"/>
      <c r="F8" s="31"/>
      <c r="G8" s="31"/>
      <c r="H8" s="31"/>
      <c r="I8" s="31"/>
      <c r="J8" s="31"/>
      <c r="K8" s="31"/>
      <c r="L8" s="31"/>
      <c r="M8" s="31"/>
      <c r="N8" s="31"/>
    </row>
    <row r="9" spans="1:14" x14ac:dyDescent="0.2">
      <c r="C9" s="31"/>
      <c r="D9" s="31"/>
      <c r="E9" s="31"/>
      <c r="F9" s="31"/>
      <c r="G9" s="31"/>
      <c r="H9" s="31"/>
      <c r="I9" s="31"/>
      <c r="J9" s="31"/>
      <c r="K9" s="31"/>
      <c r="L9" s="31"/>
      <c r="M9" s="31"/>
      <c r="N9" s="31"/>
    </row>
    <row r="10" spans="1:14" ht="26" customHeight="1" x14ac:dyDescent="0.3">
      <c r="C10" s="227" t="s">
        <v>324</v>
      </c>
      <c r="D10" s="227"/>
      <c r="E10" s="227"/>
      <c r="F10" s="227"/>
      <c r="G10" s="227"/>
      <c r="H10" s="227"/>
      <c r="I10" s="227"/>
      <c r="J10" s="227"/>
      <c r="K10" s="227"/>
      <c r="L10" s="227"/>
      <c r="M10" s="227"/>
      <c r="N10" s="91"/>
    </row>
    <row r="11" spans="1:14" ht="26" customHeight="1" x14ac:dyDescent="0.2">
      <c r="C11" s="222" t="s">
        <v>480</v>
      </c>
      <c r="D11" s="222"/>
      <c r="E11" s="222"/>
      <c r="F11" s="222"/>
      <c r="G11" s="222"/>
      <c r="H11" s="222"/>
      <c r="I11" s="222"/>
      <c r="J11" s="222"/>
      <c r="K11" s="222"/>
      <c r="L11" s="222"/>
      <c r="M11" s="222"/>
      <c r="N11" s="31"/>
    </row>
    <row r="12" spans="1:14" ht="26" customHeight="1" x14ac:dyDescent="0.2">
      <c r="C12" s="222" t="s">
        <v>395</v>
      </c>
      <c r="D12" s="222"/>
      <c r="E12" s="222"/>
      <c r="F12" s="222"/>
      <c r="G12" s="222"/>
      <c r="H12" s="222"/>
      <c r="I12" s="222"/>
      <c r="J12" s="222"/>
      <c r="K12" s="222"/>
      <c r="L12" s="222"/>
      <c r="M12" s="222"/>
      <c r="N12" s="31"/>
    </row>
    <row r="13" spans="1:14" ht="26" customHeight="1" x14ac:dyDescent="0.2">
      <c r="C13" s="222" t="s">
        <v>456</v>
      </c>
      <c r="D13" s="222"/>
      <c r="E13" s="222"/>
      <c r="F13" s="222"/>
      <c r="G13" s="222"/>
      <c r="H13" s="222"/>
      <c r="I13" s="222"/>
      <c r="J13" s="222"/>
      <c r="K13" s="222"/>
      <c r="L13" s="222"/>
      <c r="M13" s="222"/>
      <c r="N13" s="31"/>
    </row>
    <row r="14" spans="1:14" ht="29" x14ac:dyDescent="0.35">
      <c r="A14" s="68"/>
      <c r="B14" s="69"/>
      <c r="C14" s="70"/>
      <c r="D14" s="71"/>
      <c r="E14" s="71"/>
      <c r="F14" s="71"/>
      <c r="G14" s="71"/>
      <c r="H14" s="71"/>
      <c r="I14" s="71"/>
      <c r="J14" s="71"/>
      <c r="K14" s="71"/>
      <c r="L14" s="71"/>
      <c r="M14" s="70"/>
      <c r="N14" s="70"/>
    </row>
    <row r="15" spans="1:14" ht="29" x14ac:dyDescent="0.35">
      <c r="A15" s="68"/>
      <c r="B15" s="69"/>
      <c r="C15" s="70"/>
      <c r="D15" s="70"/>
      <c r="E15" s="70"/>
      <c r="F15" s="70"/>
      <c r="G15" s="70"/>
      <c r="H15" s="70"/>
      <c r="I15" s="70"/>
      <c r="J15" s="70"/>
      <c r="K15" s="70"/>
      <c r="L15" s="70"/>
      <c r="M15" s="70"/>
      <c r="N15" s="70"/>
    </row>
    <row r="16" spans="1:14" ht="30" x14ac:dyDescent="0.35">
      <c r="A16" s="68"/>
      <c r="B16" s="70" t="s">
        <v>326</v>
      </c>
      <c r="C16" s="72">
        <f>'Full Estimate'!C17</f>
        <v>0</v>
      </c>
      <c r="D16" s="73"/>
      <c r="E16" s="73"/>
      <c r="F16" s="70"/>
      <c r="G16" s="70"/>
      <c r="H16" s="70"/>
      <c r="I16" s="70"/>
      <c r="J16" s="70"/>
      <c r="K16" s="70" t="s">
        <v>335</v>
      </c>
      <c r="L16" s="174">
        <f>'Full Estimate'!L17</f>
        <v>0</v>
      </c>
      <c r="M16" s="173"/>
      <c r="N16" s="173"/>
    </row>
    <row r="17" spans="1:14" ht="29" x14ac:dyDescent="0.35">
      <c r="A17" s="68"/>
      <c r="B17" s="69"/>
      <c r="C17" s="70"/>
      <c r="D17" s="70"/>
      <c r="E17" s="70"/>
      <c r="F17" s="70"/>
      <c r="G17" s="70"/>
      <c r="H17" s="70"/>
      <c r="I17" s="70"/>
      <c r="J17" s="70"/>
      <c r="K17" s="70"/>
      <c r="L17" s="70"/>
      <c r="M17" s="70"/>
      <c r="N17" s="70"/>
    </row>
    <row r="18" spans="1:14" ht="29" x14ac:dyDescent="0.35">
      <c r="A18" s="68"/>
      <c r="B18" s="69"/>
      <c r="C18" s="70"/>
      <c r="D18" s="70"/>
      <c r="E18" s="70"/>
      <c r="F18" s="70"/>
      <c r="G18" s="70"/>
      <c r="H18" s="70"/>
      <c r="I18" s="70"/>
      <c r="J18" s="70"/>
      <c r="K18" s="70"/>
      <c r="L18" s="70"/>
      <c r="M18" s="70"/>
      <c r="N18" s="70"/>
    </row>
    <row r="19" spans="1:14" ht="29" customHeight="1" x14ac:dyDescent="0.35">
      <c r="A19" s="68"/>
      <c r="B19" s="223"/>
      <c r="C19" s="223"/>
      <c r="D19" s="223"/>
      <c r="E19" s="223"/>
      <c r="F19" s="223"/>
      <c r="G19" s="223"/>
      <c r="H19" s="223"/>
      <c r="I19" s="223"/>
      <c r="J19" s="223"/>
      <c r="K19" s="223"/>
      <c r="L19" s="223"/>
      <c r="M19" s="223"/>
      <c r="N19" s="223"/>
    </row>
    <row r="20" spans="1:14" ht="29" x14ac:dyDescent="0.35">
      <c r="A20" s="68"/>
      <c r="B20" s="223"/>
      <c r="C20" s="223"/>
      <c r="D20" s="223"/>
      <c r="E20" s="223"/>
      <c r="F20" s="223"/>
      <c r="G20" s="223"/>
      <c r="H20" s="223"/>
      <c r="I20" s="223"/>
      <c r="J20" s="223"/>
      <c r="K20" s="223"/>
      <c r="L20" s="223"/>
      <c r="M20" s="223"/>
      <c r="N20" s="223"/>
    </row>
    <row r="21" spans="1:14" ht="29" x14ac:dyDescent="0.35">
      <c r="A21" s="68"/>
      <c r="B21" s="69"/>
      <c r="C21" s="73"/>
      <c r="D21" s="73"/>
      <c r="E21" s="73"/>
      <c r="F21" s="73"/>
      <c r="G21" s="73"/>
      <c r="H21" s="73"/>
      <c r="I21" s="73"/>
      <c r="J21" s="73"/>
      <c r="K21" s="73"/>
      <c r="L21" s="73"/>
      <c r="M21" s="73"/>
      <c r="N21" s="74"/>
    </row>
    <row r="22" spans="1:14" ht="29" customHeight="1" x14ac:dyDescent="0.35">
      <c r="A22" s="68"/>
      <c r="B22" s="224" t="s">
        <v>459</v>
      </c>
      <c r="C22" s="224"/>
      <c r="D22" s="224"/>
      <c r="E22" s="224"/>
      <c r="F22" s="224"/>
      <c r="G22" s="224"/>
      <c r="H22" s="224"/>
      <c r="I22" s="224"/>
      <c r="J22" s="224"/>
      <c r="K22" s="224"/>
      <c r="L22" s="224"/>
      <c r="M22" s="224"/>
      <c r="N22" s="224"/>
    </row>
    <row r="23" spans="1:14" ht="29" x14ac:dyDescent="0.35">
      <c r="A23" s="68"/>
      <c r="B23" s="224"/>
      <c r="C23" s="224"/>
      <c r="D23" s="224"/>
      <c r="E23" s="224"/>
      <c r="F23" s="224"/>
      <c r="G23" s="224"/>
      <c r="H23" s="224"/>
      <c r="I23" s="224"/>
      <c r="J23" s="224"/>
      <c r="K23" s="224"/>
      <c r="L23" s="224"/>
      <c r="M23" s="224"/>
      <c r="N23" s="224"/>
    </row>
    <row r="24" spans="1:14" ht="29" x14ac:dyDescent="0.35">
      <c r="A24" s="68"/>
      <c r="B24" s="69"/>
      <c r="C24" s="70"/>
      <c r="D24" s="70"/>
      <c r="E24" s="70"/>
      <c r="F24" s="70"/>
      <c r="G24" s="70"/>
      <c r="H24" s="70"/>
      <c r="I24" s="70"/>
      <c r="J24" s="70"/>
      <c r="K24" s="70"/>
      <c r="L24" s="70"/>
      <c r="M24" s="74"/>
      <c r="N24" s="74"/>
    </row>
    <row r="25" spans="1:14" ht="29" customHeight="1" x14ac:dyDescent="0.35">
      <c r="A25" s="68"/>
      <c r="B25" s="225" t="s">
        <v>329</v>
      </c>
      <c r="C25" s="225"/>
      <c r="D25" s="225"/>
      <c r="E25" s="225"/>
      <c r="F25" s="228"/>
      <c r="G25" s="228"/>
      <c r="H25" s="228"/>
      <c r="I25" s="228"/>
      <c r="J25" s="228"/>
      <c r="K25" s="228"/>
      <c r="L25" s="70"/>
      <c r="M25" s="74"/>
      <c r="N25" s="74"/>
    </row>
    <row r="26" spans="1:14" ht="29" customHeight="1" x14ac:dyDescent="0.35">
      <c r="A26" s="68"/>
      <c r="B26" s="229"/>
      <c r="C26" s="230"/>
      <c r="D26" s="230"/>
      <c r="E26" s="230"/>
      <c r="F26" s="230"/>
      <c r="G26" s="230"/>
      <c r="H26" s="230"/>
      <c r="I26" s="230"/>
      <c r="J26" s="230"/>
      <c r="K26" s="230"/>
      <c r="L26" s="230"/>
      <c r="M26" s="230"/>
      <c r="N26" s="231"/>
    </row>
    <row r="27" spans="1:14" ht="29" x14ac:dyDescent="0.35">
      <c r="A27" s="68"/>
      <c r="B27" s="232"/>
      <c r="C27" s="233"/>
      <c r="D27" s="233"/>
      <c r="E27" s="233"/>
      <c r="F27" s="233"/>
      <c r="G27" s="233"/>
      <c r="H27" s="233"/>
      <c r="I27" s="233"/>
      <c r="J27" s="233"/>
      <c r="K27" s="233"/>
      <c r="L27" s="233"/>
      <c r="M27" s="233"/>
      <c r="N27" s="234"/>
    </row>
    <row r="28" spans="1:14" ht="29" x14ac:dyDescent="0.35">
      <c r="A28" s="68"/>
      <c r="B28" s="92"/>
      <c r="C28" s="92"/>
      <c r="D28" s="92"/>
      <c r="E28" s="92"/>
      <c r="F28" s="92"/>
      <c r="G28" s="92"/>
      <c r="H28" s="92"/>
      <c r="I28" s="92"/>
      <c r="J28" s="92"/>
      <c r="K28" s="92"/>
      <c r="L28" s="92"/>
      <c r="M28" s="92"/>
      <c r="N28" s="92"/>
    </row>
    <row r="29" spans="1:14" ht="29" customHeight="1" x14ac:dyDescent="0.35">
      <c r="A29" s="68"/>
      <c r="B29" s="235" t="s">
        <v>385</v>
      </c>
      <c r="C29" s="235"/>
      <c r="D29" s="235"/>
      <c r="E29" s="235"/>
      <c r="F29" s="235" t="s">
        <v>386</v>
      </c>
      <c r="G29" s="235"/>
      <c r="H29" s="235"/>
      <c r="I29" s="235"/>
      <c r="J29" s="235"/>
      <c r="K29" s="93"/>
      <c r="L29" s="235" t="s">
        <v>387</v>
      </c>
      <c r="M29" s="235"/>
      <c r="N29" s="235"/>
    </row>
    <row r="30" spans="1:14" ht="29" customHeight="1" x14ac:dyDescent="0.35">
      <c r="A30" s="68"/>
      <c r="B30" s="92"/>
      <c r="C30" s="212" t="s">
        <v>388</v>
      </c>
      <c r="D30" s="212"/>
      <c r="E30" s="94"/>
      <c r="F30" s="212"/>
      <c r="G30" s="212"/>
      <c r="H30" s="212"/>
      <c r="I30" s="212"/>
      <c r="J30" s="212"/>
      <c r="K30" s="212"/>
      <c r="L30" s="212"/>
      <c r="M30" s="212"/>
      <c r="N30" s="212"/>
    </row>
    <row r="31" spans="1:14" ht="29" customHeight="1" x14ac:dyDescent="0.35">
      <c r="A31" s="68"/>
      <c r="B31" s="92"/>
      <c r="C31" s="212" t="s">
        <v>389</v>
      </c>
      <c r="D31" s="212"/>
      <c r="E31" s="94"/>
      <c r="F31" s="212"/>
      <c r="G31" s="212"/>
      <c r="H31" s="212"/>
      <c r="I31" s="212"/>
      <c r="J31" s="212"/>
      <c r="K31" s="212"/>
      <c r="L31" s="212"/>
      <c r="M31" s="212"/>
      <c r="N31" s="212"/>
    </row>
    <row r="32" spans="1:14" ht="29" customHeight="1" x14ac:dyDescent="0.35">
      <c r="A32" s="68"/>
      <c r="B32" s="92"/>
      <c r="C32" s="212" t="s">
        <v>391</v>
      </c>
      <c r="D32" s="212"/>
      <c r="E32" s="94"/>
      <c r="F32" s="212"/>
      <c r="G32" s="212"/>
      <c r="H32" s="212"/>
      <c r="I32" s="212"/>
      <c r="J32" s="212"/>
      <c r="K32" s="212"/>
      <c r="L32" s="212"/>
      <c r="M32" s="212"/>
      <c r="N32" s="212"/>
    </row>
    <row r="33" spans="1:14" ht="29" customHeight="1" x14ac:dyDescent="0.35">
      <c r="A33" s="68"/>
      <c r="B33" s="92"/>
      <c r="C33" s="212" t="s">
        <v>390</v>
      </c>
      <c r="D33" s="212"/>
      <c r="E33" s="94"/>
      <c r="F33" s="212"/>
      <c r="G33" s="212"/>
      <c r="H33" s="212"/>
      <c r="I33" s="212"/>
      <c r="J33" s="212"/>
      <c r="K33" s="212"/>
      <c r="L33" s="212"/>
      <c r="M33" s="212"/>
      <c r="N33" s="212"/>
    </row>
    <row r="34" spans="1:14" ht="29" customHeight="1" x14ac:dyDescent="0.35">
      <c r="A34" s="68"/>
      <c r="B34" s="92"/>
      <c r="C34" s="212" t="s">
        <v>453</v>
      </c>
      <c r="D34" s="212"/>
      <c r="E34" s="94"/>
      <c r="F34" s="212"/>
      <c r="G34" s="212"/>
      <c r="H34" s="212"/>
      <c r="I34" s="212"/>
      <c r="J34" s="212"/>
      <c r="K34" s="212"/>
      <c r="L34" s="212"/>
      <c r="M34" s="212"/>
      <c r="N34" s="212"/>
    </row>
    <row r="35" spans="1:14" ht="29" customHeight="1" x14ac:dyDescent="0.35">
      <c r="A35" s="68"/>
      <c r="B35" s="92"/>
      <c r="C35" s="212" t="s">
        <v>454</v>
      </c>
      <c r="D35" s="212"/>
      <c r="E35" s="94"/>
      <c r="F35" s="212"/>
      <c r="G35" s="212"/>
      <c r="H35" s="212"/>
      <c r="I35" s="212"/>
      <c r="J35" s="212"/>
      <c r="K35" s="212"/>
      <c r="L35" s="212"/>
      <c r="M35" s="212"/>
      <c r="N35" s="212"/>
    </row>
    <row r="36" spans="1:14" ht="29" customHeight="1" x14ac:dyDescent="0.35">
      <c r="A36" s="68"/>
      <c r="B36" s="92"/>
      <c r="C36" s="212" t="s">
        <v>455</v>
      </c>
      <c r="D36" s="212"/>
      <c r="E36" s="94"/>
      <c r="F36" s="212"/>
      <c r="G36" s="212"/>
      <c r="H36" s="212"/>
      <c r="I36" s="212"/>
      <c r="J36" s="212"/>
      <c r="K36" s="212"/>
      <c r="L36" s="212"/>
      <c r="M36" s="212"/>
      <c r="N36" s="212"/>
    </row>
    <row r="37" spans="1:14" ht="29" x14ac:dyDescent="0.35">
      <c r="A37" s="68"/>
      <c r="B37" s="92"/>
      <c r="C37" s="92"/>
      <c r="D37" s="92"/>
      <c r="E37" s="92"/>
      <c r="F37" s="92"/>
      <c r="G37" s="92"/>
      <c r="H37" s="92"/>
      <c r="I37" s="92"/>
      <c r="J37" s="92"/>
      <c r="K37" s="92"/>
      <c r="L37" s="92"/>
      <c r="M37" s="92"/>
      <c r="N37" s="92"/>
    </row>
    <row r="38" spans="1:14" ht="29" customHeight="1" x14ac:dyDescent="0.35">
      <c r="A38" s="68"/>
      <c r="B38" s="238" t="s">
        <v>328</v>
      </c>
      <c r="C38" s="238"/>
      <c r="D38" s="238"/>
      <c r="E38" s="238"/>
      <c r="F38" s="238"/>
      <c r="G38" s="238"/>
      <c r="H38" s="238"/>
      <c r="I38" s="238"/>
      <c r="J38" s="238"/>
      <c r="K38" s="238"/>
      <c r="L38" s="238"/>
      <c r="M38" s="74"/>
      <c r="N38" s="74"/>
    </row>
    <row r="39" spans="1:14" ht="17" thickBot="1" x14ac:dyDescent="0.25">
      <c r="C39" s="30"/>
    </row>
    <row r="40" spans="1:14" ht="30" thickBot="1" x14ac:dyDescent="0.4">
      <c r="A40" s="35"/>
      <c r="B40" s="243" t="s">
        <v>357</v>
      </c>
      <c r="C40" s="243"/>
      <c r="D40" s="243"/>
      <c r="E40" s="243"/>
      <c r="F40" s="243"/>
      <c r="G40" s="243"/>
      <c r="H40" s="243"/>
      <c r="I40" s="243"/>
      <c r="J40" s="243"/>
      <c r="K40" s="55"/>
      <c r="L40" s="244" t="e">
        <f>M102</f>
        <v>#N/A</v>
      </c>
      <c r="M40" s="245"/>
      <c r="N40" s="246"/>
    </row>
    <row r="41" spans="1:14" ht="26" x14ac:dyDescent="0.3">
      <c r="A41" s="35"/>
      <c r="B41" s="33"/>
      <c r="C41" s="49"/>
      <c r="D41" s="49"/>
      <c r="E41" s="49"/>
      <c r="F41" s="49"/>
      <c r="G41" s="49"/>
      <c r="H41" s="50"/>
      <c r="I41" s="50"/>
      <c r="J41" s="48"/>
      <c r="K41" s="50"/>
      <c r="L41" s="48"/>
      <c r="M41" s="48"/>
      <c r="N41" s="34"/>
    </row>
    <row r="42" spans="1:14" ht="22" thickBot="1" x14ac:dyDescent="0.3">
      <c r="A42" s="35"/>
      <c r="B42" s="33"/>
      <c r="C42" s="28"/>
      <c r="D42" s="28"/>
      <c r="E42" s="28"/>
      <c r="F42" s="28"/>
      <c r="G42" s="28"/>
      <c r="H42" s="33"/>
      <c r="I42" s="33"/>
      <c r="J42" s="34"/>
      <c r="K42" s="33"/>
      <c r="L42" s="34"/>
      <c r="M42" s="34"/>
      <c r="N42" s="34"/>
    </row>
    <row r="43" spans="1:14" ht="46" x14ac:dyDescent="0.4">
      <c r="A43" s="119"/>
      <c r="B43" s="119"/>
      <c r="C43" s="162"/>
      <c r="D43" s="121" t="s">
        <v>0</v>
      </c>
      <c r="E43" s="249" t="s">
        <v>1</v>
      </c>
      <c r="F43" s="249"/>
      <c r="G43" s="122"/>
      <c r="H43" s="122" t="s">
        <v>31</v>
      </c>
      <c r="I43" s="122" t="s">
        <v>396</v>
      </c>
      <c r="J43" s="122" t="s">
        <v>7</v>
      </c>
      <c r="K43" s="123" t="s">
        <v>4</v>
      </c>
      <c r="L43" s="122" t="s">
        <v>5</v>
      </c>
      <c r="M43" s="123" t="s">
        <v>6</v>
      </c>
      <c r="N43" s="124"/>
    </row>
    <row r="44" spans="1:14" ht="24" x14ac:dyDescent="0.3">
      <c r="A44" s="53"/>
      <c r="B44" s="53"/>
      <c r="C44" s="125"/>
      <c r="D44" s="109"/>
      <c r="E44" s="215" t="e">
        <f>VLOOKUP($D44,Table1[#All],2,FALSE)</f>
        <v>#N/A</v>
      </c>
      <c r="F44" s="215"/>
      <c r="G44" s="215"/>
      <c r="H44" s="110" t="e">
        <f>VLOOKUP($D44,Table1[#All],3,FALSE)</f>
        <v>#N/A</v>
      </c>
      <c r="I44" s="110"/>
      <c r="J44" s="111"/>
      <c r="K44" s="112" t="e">
        <f>VLOOKUP($D44,Table1[#All],4,FALSE)</f>
        <v>#N/A</v>
      </c>
      <c r="L44" s="113"/>
      <c r="M44" s="114" t="e">
        <f t="shared" ref="M44" si="0">+K44*L44</f>
        <v>#N/A</v>
      </c>
      <c r="N44" s="126"/>
    </row>
    <row r="45" spans="1:14" ht="24" x14ac:dyDescent="0.3">
      <c r="A45" s="53"/>
      <c r="B45" s="53"/>
      <c r="C45" s="125"/>
      <c r="D45" s="109"/>
      <c r="E45" s="215" t="e">
        <f>VLOOKUP($D45,Table1[#All],2,FALSE)</f>
        <v>#N/A</v>
      </c>
      <c r="F45" s="215"/>
      <c r="G45" s="215"/>
      <c r="H45" s="110" t="e">
        <f>VLOOKUP($D45,Table1[#All],3,FALSE)</f>
        <v>#N/A</v>
      </c>
      <c r="I45" s="110"/>
      <c r="J45" s="111"/>
      <c r="K45" s="112" t="e">
        <f>VLOOKUP($D45,Table1[#All],4,FALSE)</f>
        <v>#N/A</v>
      </c>
      <c r="L45" s="113"/>
      <c r="M45" s="114" t="e">
        <f>+K45*L45</f>
        <v>#N/A</v>
      </c>
      <c r="N45" s="126"/>
    </row>
    <row r="46" spans="1:14" ht="24" x14ac:dyDescent="0.3">
      <c r="A46" s="53"/>
      <c r="B46" s="53"/>
      <c r="C46" s="125"/>
      <c r="D46" s="109"/>
      <c r="E46" s="215" t="e">
        <f>VLOOKUP($D46,Table1[#All],2,FALSE)</f>
        <v>#N/A</v>
      </c>
      <c r="F46" s="215"/>
      <c r="G46" s="215"/>
      <c r="H46" s="110" t="e">
        <f>VLOOKUP($D46,Table1[#All],3,FALSE)</f>
        <v>#N/A</v>
      </c>
      <c r="I46" s="110"/>
      <c r="J46" s="111"/>
      <c r="K46" s="112" t="e">
        <f>VLOOKUP($D46,Table1[#All],4,FALSE)</f>
        <v>#N/A</v>
      </c>
      <c r="L46" s="113"/>
      <c r="M46" s="114" t="e">
        <f>+K46*L46</f>
        <v>#N/A</v>
      </c>
      <c r="N46" s="126"/>
    </row>
    <row r="47" spans="1:14" ht="24" x14ac:dyDescent="0.3">
      <c r="A47" s="53"/>
      <c r="B47" s="53"/>
      <c r="C47" s="125"/>
      <c r="D47" s="109"/>
      <c r="E47" s="215" t="e">
        <f>VLOOKUP($D47,Table1[#All],2,FALSE)</f>
        <v>#N/A</v>
      </c>
      <c r="F47" s="215"/>
      <c r="G47" s="215"/>
      <c r="H47" s="110" t="e">
        <f>VLOOKUP($D47,Table1[#All],3,FALSE)</f>
        <v>#N/A</v>
      </c>
      <c r="I47" s="110"/>
      <c r="J47" s="111"/>
      <c r="K47" s="112" t="e">
        <f>VLOOKUP($D47,Table1[#All],4,FALSE)</f>
        <v>#N/A</v>
      </c>
      <c r="L47" s="113"/>
      <c r="M47" s="114" t="e">
        <f t="shared" ref="M47:M100" si="1">+K47*L47</f>
        <v>#N/A</v>
      </c>
      <c r="N47" s="127"/>
    </row>
    <row r="48" spans="1:14" ht="24" x14ac:dyDescent="0.3">
      <c r="A48" s="53"/>
      <c r="B48" s="53"/>
      <c r="C48" s="125"/>
      <c r="D48" s="109"/>
      <c r="E48" s="215" t="e">
        <f>VLOOKUP($D48,Table1[#All],2,FALSE)</f>
        <v>#N/A</v>
      </c>
      <c r="F48" s="215"/>
      <c r="G48" s="215"/>
      <c r="H48" s="110" t="e">
        <f>VLOOKUP($D48,Table1[#All],3,FALSE)</f>
        <v>#N/A</v>
      </c>
      <c r="I48" s="110"/>
      <c r="J48" s="111"/>
      <c r="K48" s="112" t="e">
        <f>VLOOKUP($D48,Table1[#All],4,FALSE)</f>
        <v>#N/A</v>
      </c>
      <c r="L48" s="113"/>
      <c r="M48" s="114" t="e">
        <f t="shared" si="1"/>
        <v>#N/A</v>
      </c>
      <c r="N48" s="126"/>
    </row>
    <row r="49" spans="1:14" ht="24" x14ac:dyDescent="0.3">
      <c r="A49" s="53"/>
      <c r="B49" s="53"/>
      <c r="C49" s="125"/>
      <c r="D49" s="109"/>
      <c r="E49" s="215" t="e">
        <f>VLOOKUP($D49,Table1[#All],2,FALSE)</f>
        <v>#N/A</v>
      </c>
      <c r="F49" s="215"/>
      <c r="G49" s="215"/>
      <c r="H49" s="110" t="e">
        <f>VLOOKUP($D49,Table1[#All],3,FALSE)</f>
        <v>#N/A</v>
      </c>
      <c r="I49" s="110"/>
      <c r="J49" s="111"/>
      <c r="K49" s="112" t="e">
        <f>VLOOKUP($D49,Table1[#All],4,FALSE)</f>
        <v>#N/A</v>
      </c>
      <c r="L49" s="113"/>
      <c r="M49" s="114" t="e">
        <f t="shared" si="1"/>
        <v>#N/A</v>
      </c>
      <c r="N49" s="126"/>
    </row>
    <row r="50" spans="1:14" ht="24" x14ac:dyDescent="0.3">
      <c r="A50" s="53"/>
      <c r="B50" s="53"/>
      <c r="C50" s="125"/>
      <c r="D50" s="109"/>
      <c r="E50" s="215" t="e">
        <f>VLOOKUP($D50,Table1[#All],2,FALSE)</f>
        <v>#N/A</v>
      </c>
      <c r="F50" s="215"/>
      <c r="G50" s="215"/>
      <c r="H50" s="110" t="e">
        <f>VLOOKUP($D50,Table1[#All],3,FALSE)</f>
        <v>#N/A</v>
      </c>
      <c r="I50" s="110"/>
      <c r="J50" s="111"/>
      <c r="K50" s="112" t="e">
        <f>VLOOKUP($D50,Table1[#All],4,FALSE)</f>
        <v>#N/A</v>
      </c>
      <c r="L50" s="113"/>
      <c r="M50" s="114" t="e">
        <f t="shared" si="1"/>
        <v>#N/A</v>
      </c>
      <c r="N50" s="126"/>
    </row>
    <row r="51" spans="1:14" ht="24" x14ac:dyDescent="0.3">
      <c r="A51" s="53"/>
      <c r="B51" s="53"/>
      <c r="C51" s="125"/>
      <c r="D51" s="109"/>
      <c r="E51" s="215" t="e">
        <f>VLOOKUP($D51,Table1[#All],2,FALSE)</f>
        <v>#N/A</v>
      </c>
      <c r="F51" s="215"/>
      <c r="G51" s="215"/>
      <c r="H51" s="110" t="e">
        <f>VLOOKUP($D51,Table1[#All],3,FALSE)</f>
        <v>#N/A</v>
      </c>
      <c r="I51" s="110"/>
      <c r="J51" s="111"/>
      <c r="K51" s="112" t="e">
        <f>VLOOKUP($D51,Table1[#All],4,FALSE)</f>
        <v>#N/A</v>
      </c>
      <c r="L51" s="113"/>
      <c r="M51" s="114" t="e">
        <f t="shared" si="1"/>
        <v>#N/A</v>
      </c>
      <c r="N51" s="126"/>
    </row>
    <row r="52" spans="1:14" ht="24" x14ac:dyDescent="0.3">
      <c r="A52" s="53"/>
      <c r="B52" s="53"/>
      <c r="C52" s="125"/>
      <c r="D52" s="109"/>
      <c r="E52" s="215" t="e">
        <f>VLOOKUP($D52,Table1[#All],2,FALSE)</f>
        <v>#N/A</v>
      </c>
      <c r="F52" s="215"/>
      <c r="G52" s="215"/>
      <c r="H52" s="110" t="e">
        <f>VLOOKUP($D52,Table1[#All],3,FALSE)</f>
        <v>#N/A</v>
      </c>
      <c r="I52" s="110"/>
      <c r="J52" s="111"/>
      <c r="K52" s="112" t="e">
        <f>VLOOKUP($D52,Table1[#All],4,FALSE)</f>
        <v>#N/A</v>
      </c>
      <c r="L52" s="113"/>
      <c r="M52" s="114" t="e">
        <f t="shared" si="1"/>
        <v>#N/A</v>
      </c>
      <c r="N52" s="126"/>
    </row>
    <row r="53" spans="1:14" ht="24" x14ac:dyDescent="0.3">
      <c r="A53" s="53"/>
      <c r="B53" s="53"/>
      <c r="C53" s="125"/>
      <c r="D53" s="109"/>
      <c r="E53" s="215" t="e">
        <f>VLOOKUP($D53,Table1[#All],2,FALSE)</f>
        <v>#N/A</v>
      </c>
      <c r="F53" s="215"/>
      <c r="G53" s="215"/>
      <c r="H53" s="110" t="e">
        <f>VLOOKUP($D53,Table1[#All],3,FALSE)</f>
        <v>#N/A</v>
      </c>
      <c r="I53" s="110"/>
      <c r="J53" s="111"/>
      <c r="K53" s="112" t="e">
        <f>VLOOKUP($D53,Table1[#All],4,FALSE)</f>
        <v>#N/A</v>
      </c>
      <c r="L53" s="113"/>
      <c r="M53" s="114" t="e">
        <f t="shared" si="1"/>
        <v>#N/A</v>
      </c>
      <c r="N53" s="126"/>
    </row>
    <row r="54" spans="1:14" ht="24" x14ac:dyDescent="0.3">
      <c r="A54" s="53"/>
      <c r="B54" s="53"/>
      <c r="C54" s="125"/>
      <c r="D54" s="109"/>
      <c r="E54" s="215" t="e">
        <f>VLOOKUP($D54,Table1[#All],2,FALSE)</f>
        <v>#N/A</v>
      </c>
      <c r="F54" s="215"/>
      <c r="G54" s="215"/>
      <c r="H54" s="110" t="e">
        <f>VLOOKUP($D54,Table1[#All],3,FALSE)</f>
        <v>#N/A</v>
      </c>
      <c r="I54" s="110"/>
      <c r="J54" s="111"/>
      <c r="K54" s="112" t="e">
        <f>VLOOKUP($D54,Table1[#All],4,FALSE)</f>
        <v>#N/A</v>
      </c>
      <c r="L54" s="113"/>
      <c r="M54" s="114" t="e">
        <f t="shared" si="1"/>
        <v>#N/A</v>
      </c>
      <c r="N54" s="126"/>
    </row>
    <row r="55" spans="1:14" ht="24" x14ac:dyDescent="0.3">
      <c r="A55" s="53"/>
      <c r="B55" s="53"/>
      <c r="C55" s="125"/>
      <c r="D55" s="109"/>
      <c r="E55" s="215" t="e">
        <f>VLOOKUP($D55,Table1[#All],2,FALSE)</f>
        <v>#N/A</v>
      </c>
      <c r="F55" s="215"/>
      <c r="G55" s="215"/>
      <c r="H55" s="110" t="e">
        <f>VLOOKUP($D55,Table1[#All],3,FALSE)</f>
        <v>#N/A</v>
      </c>
      <c r="I55" s="110"/>
      <c r="J55" s="111"/>
      <c r="K55" s="112" t="e">
        <f>VLOOKUP($D55,Table1[#All],4,FALSE)</f>
        <v>#N/A</v>
      </c>
      <c r="L55" s="113"/>
      <c r="M55" s="114" t="e">
        <f t="shared" si="1"/>
        <v>#N/A</v>
      </c>
      <c r="N55" s="126"/>
    </row>
    <row r="56" spans="1:14" ht="24" x14ac:dyDescent="0.3">
      <c r="A56" s="53"/>
      <c r="B56" s="53"/>
      <c r="C56" s="125"/>
      <c r="D56" s="109"/>
      <c r="E56" s="215" t="e">
        <f>VLOOKUP($D56,Table1[#All],2,FALSE)</f>
        <v>#N/A</v>
      </c>
      <c r="F56" s="215"/>
      <c r="G56" s="215"/>
      <c r="H56" s="110" t="e">
        <f>VLOOKUP($D56,Table1[#All],3,FALSE)</f>
        <v>#N/A</v>
      </c>
      <c r="I56" s="110"/>
      <c r="J56" s="111"/>
      <c r="K56" s="112" t="e">
        <f>VLOOKUP($D56,Table1[#All],4,FALSE)</f>
        <v>#N/A</v>
      </c>
      <c r="L56" s="113"/>
      <c r="M56" s="114" t="e">
        <f t="shared" si="1"/>
        <v>#N/A</v>
      </c>
      <c r="N56" s="126"/>
    </row>
    <row r="57" spans="1:14" ht="24" x14ac:dyDescent="0.3">
      <c r="A57" s="53"/>
      <c r="B57" s="53"/>
      <c r="C57" s="125"/>
      <c r="D57" s="109"/>
      <c r="E57" s="215" t="e">
        <f>VLOOKUP($D57,Table1[#All],2,FALSE)</f>
        <v>#N/A</v>
      </c>
      <c r="F57" s="215"/>
      <c r="G57" s="215"/>
      <c r="H57" s="110" t="e">
        <f>VLOOKUP($D57,Table1[#All],3,FALSE)</f>
        <v>#N/A</v>
      </c>
      <c r="I57" s="110"/>
      <c r="J57" s="111"/>
      <c r="K57" s="112" t="e">
        <f>VLOOKUP($D57,Table1[#All],4,FALSE)</f>
        <v>#N/A</v>
      </c>
      <c r="L57" s="113"/>
      <c r="M57" s="114" t="e">
        <f t="shared" si="1"/>
        <v>#N/A</v>
      </c>
      <c r="N57" s="126"/>
    </row>
    <row r="58" spans="1:14" ht="24" x14ac:dyDescent="0.3">
      <c r="A58" s="53"/>
      <c r="B58" s="53"/>
      <c r="C58" s="125"/>
      <c r="D58" s="109"/>
      <c r="E58" s="215" t="e">
        <f>VLOOKUP($D58,Table1[#All],2,FALSE)</f>
        <v>#N/A</v>
      </c>
      <c r="F58" s="215"/>
      <c r="G58" s="215"/>
      <c r="H58" s="110" t="e">
        <f>VLOOKUP($D58,Table1[#All],3,FALSE)</f>
        <v>#N/A</v>
      </c>
      <c r="I58" s="110"/>
      <c r="J58" s="111"/>
      <c r="K58" s="112" t="e">
        <f>VLOOKUP($D58,Table1[#All],4,FALSE)</f>
        <v>#N/A</v>
      </c>
      <c r="L58" s="113"/>
      <c r="M58" s="114" t="e">
        <f t="shared" si="1"/>
        <v>#N/A</v>
      </c>
      <c r="N58" s="126"/>
    </row>
    <row r="59" spans="1:14" ht="24" x14ac:dyDescent="0.3">
      <c r="A59" s="53"/>
      <c r="B59" s="53"/>
      <c r="C59" s="125"/>
      <c r="D59" s="109"/>
      <c r="E59" s="215" t="e">
        <f>VLOOKUP($D59,Table1[#All],2,FALSE)</f>
        <v>#N/A</v>
      </c>
      <c r="F59" s="215"/>
      <c r="G59" s="215"/>
      <c r="H59" s="110" t="e">
        <f>VLOOKUP($D59,Table1[#All],3,FALSE)</f>
        <v>#N/A</v>
      </c>
      <c r="I59" s="110"/>
      <c r="J59" s="111"/>
      <c r="K59" s="112" t="e">
        <f>VLOOKUP($D59,Table1[#All],4,FALSE)</f>
        <v>#N/A</v>
      </c>
      <c r="L59" s="113"/>
      <c r="M59" s="114" t="e">
        <f t="shared" si="1"/>
        <v>#N/A</v>
      </c>
      <c r="N59" s="126"/>
    </row>
    <row r="60" spans="1:14" ht="24" x14ac:dyDescent="0.3">
      <c r="A60" s="53"/>
      <c r="B60" s="53"/>
      <c r="C60" s="125"/>
      <c r="D60" s="109"/>
      <c r="E60" s="215" t="e">
        <f>VLOOKUP($D60,Table1[#All],2,FALSE)</f>
        <v>#N/A</v>
      </c>
      <c r="F60" s="215"/>
      <c r="G60" s="215"/>
      <c r="H60" s="110" t="e">
        <f>VLOOKUP($D60,Table1[#All],3,FALSE)</f>
        <v>#N/A</v>
      </c>
      <c r="I60" s="110"/>
      <c r="J60" s="111"/>
      <c r="K60" s="112" t="e">
        <f>VLOOKUP($D60,Table1[#All],4,FALSE)</f>
        <v>#N/A</v>
      </c>
      <c r="L60" s="113"/>
      <c r="M60" s="114" t="e">
        <f t="shared" si="1"/>
        <v>#N/A</v>
      </c>
      <c r="N60" s="126"/>
    </row>
    <row r="61" spans="1:14" ht="24" x14ac:dyDescent="0.3">
      <c r="A61" s="53"/>
      <c r="B61" s="53"/>
      <c r="C61" s="125"/>
      <c r="D61" s="109"/>
      <c r="E61" s="215" t="e">
        <f>VLOOKUP($D61,Table1[#All],2,FALSE)</f>
        <v>#N/A</v>
      </c>
      <c r="F61" s="215"/>
      <c r="G61" s="215"/>
      <c r="H61" s="110" t="e">
        <f>VLOOKUP($D61,Table1[#All],3,FALSE)</f>
        <v>#N/A</v>
      </c>
      <c r="I61" s="110"/>
      <c r="J61" s="111"/>
      <c r="K61" s="112" t="e">
        <f>VLOOKUP($D61,Table1[#All],4,FALSE)</f>
        <v>#N/A</v>
      </c>
      <c r="L61" s="113"/>
      <c r="M61" s="114" t="e">
        <f t="shared" si="1"/>
        <v>#N/A</v>
      </c>
      <c r="N61" s="126"/>
    </row>
    <row r="62" spans="1:14" ht="24" x14ac:dyDescent="0.3">
      <c r="A62" s="53"/>
      <c r="B62" s="53"/>
      <c r="C62" s="125"/>
      <c r="D62" s="109"/>
      <c r="E62" s="215" t="e">
        <f>VLOOKUP($D62,Table1[#All],2,FALSE)</f>
        <v>#N/A</v>
      </c>
      <c r="F62" s="215"/>
      <c r="G62" s="215"/>
      <c r="H62" s="110" t="e">
        <f>VLOOKUP($D62,Table1[#All],3,FALSE)</f>
        <v>#N/A</v>
      </c>
      <c r="I62" s="110"/>
      <c r="J62" s="111"/>
      <c r="K62" s="112" t="e">
        <f>VLOOKUP($D62,Table1[#All],4,FALSE)</f>
        <v>#N/A</v>
      </c>
      <c r="L62" s="113"/>
      <c r="M62" s="114" t="e">
        <f t="shared" si="1"/>
        <v>#N/A</v>
      </c>
      <c r="N62" s="126"/>
    </row>
    <row r="63" spans="1:14" ht="24" x14ac:dyDescent="0.3">
      <c r="A63" s="53"/>
      <c r="B63" s="53"/>
      <c r="C63" s="125"/>
      <c r="D63" s="109"/>
      <c r="E63" s="215" t="e">
        <f>VLOOKUP($D63,Table1[#All],2,FALSE)</f>
        <v>#N/A</v>
      </c>
      <c r="F63" s="215"/>
      <c r="G63" s="215"/>
      <c r="H63" s="110" t="e">
        <f>VLOOKUP($D63,Table1[#All],3,FALSE)</f>
        <v>#N/A</v>
      </c>
      <c r="I63" s="110"/>
      <c r="J63" s="111"/>
      <c r="K63" s="112" t="e">
        <f>VLOOKUP($D63,Table1[#All],4,FALSE)</f>
        <v>#N/A</v>
      </c>
      <c r="L63" s="113"/>
      <c r="M63" s="114" t="e">
        <f t="shared" si="1"/>
        <v>#N/A</v>
      </c>
      <c r="N63" s="126"/>
    </row>
    <row r="64" spans="1:14" ht="24" x14ac:dyDescent="0.3">
      <c r="A64" s="53"/>
      <c r="B64" s="53"/>
      <c r="C64" s="125"/>
      <c r="D64" s="109"/>
      <c r="E64" s="215" t="e">
        <f>VLOOKUP($D64,Table1[#All],2,FALSE)</f>
        <v>#N/A</v>
      </c>
      <c r="F64" s="215"/>
      <c r="G64" s="215"/>
      <c r="H64" s="110" t="e">
        <f>VLOOKUP($D64,Table1[#All],3,FALSE)</f>
        <v>#N/A</v>
      </c>
      <c r="I64" s="110"/>
      <c r="J64" s="111"/>
      <c r="K64" s="112" t="e">
        <f>VLOOKUP($D64,Table1[#All],4,FALSE)</f>
        <v>#N/A</v>
      </c>
      <c r="L64" s="113"/>
      <c r="M64" s="114" t="e">
        <f t="shared" si="1"/>
        <v>#N/A</v>
      </c>
      <c r="N64" s="126"/>
    </row>
    <row r="65" spans="1:14" ht="24" x14ac:dyDescent="0.3">
      <c r="A65" s="53"/>
      <c r="B65" s="53"/>
      <c r="C65" s="125"/>
      <c r="D65" s="109"/>
      <c r="E65" s="215" t="e">
        <f>VLOOKUP($D65,Table1[#All],2,FALSE)</f>
        <v>#N/A</v>
      </c>
      <c r="F65" s="215"/>
      <c r="G65" s="215"/>
      <c r="H65" s="110" t="e">
        <f>VLOOKUP($D65,Table1[#All],3,FALSE)</f>
        <v>#N/A</v>
      </c>
      <c r="I65" s="110"/>
      <c r="J65" s="111"/>
      <c r="K65" s="112" t="e">
        <f>VLOOKUP($D65,Table1[#All],4,FALSE)</f>
        <v>#N/A</v>
      </c>
      <c r="L65" s="113"/>
      <c r="M65" s="114" t="e">
        <f t="shared" si="1"/>
        <v>#N/A</v>
      </c>
      <c r="N65" s="126"/>
    </row>
    <row r="66" spans="1:14" ht="24" x14ac:dyDescent="0.3">
      <c r="A66" s="53"/>
      <c r="B66" s="53"/>
      <c r="C66" s="125"/>
      <c r="D66" s="109"/>
      <c r="E66" s="215" t="e">
        <f>VLOOKUP($D66,Table1[#All],2,FALSE)</f>
        <v>#N/A</v>
      </c>
      <c r="F66" s="215"/>
      <c r="G66" s="215"/>
      <c r="H66" s="110" t="e">
        <f>VLOOKUP($D66,Table1[#All],3,FALSE)</f>
        <v>#N/A</v>
      </c>
      <c r="I66" s="110"/>
      <c r="J66" s="111"/>
      <c r="K66" s="112" t="e">
        <f>VLOOKUP($D66,Table1[#All],4,FALSE)</f>
        <v>#N/A</v>
      </c>
      <c r="L66" s="113"/>
      <c r="M66" s="114" t="e">
        <f t="shared" si="1"/>
        <v>#N/A</v>
      </c>
      <c r="N66" s="126"/>
    </row>
    <row r="67" spans="1:14" ht="24" x14ac:dyDescent="0.3">
      <c r="A67" s="53"/>
      <c r="B67" s="53"/>
      <c r="C67" s="125"/>
      <c r="D67" s="109"/>
      <c r="E67" s="215" t="e">
        <f>VLOOKUP($D67,Table1[#All],2,FALSE)</f>
        <v>#N/A</v>
      </c>
      <c r="F67" s="215"/>
      <c r="G67" s="215"/>
      <c r="H67" s="110" t="e">
        <f>VLOOKUP($D67,Table1[#All],3,FALSE)</f>
        <v>#N/A</v>
      </c>
      <c r="I67" s="110"/>
      <c r="J67" s="111"/>
      <c r="K67" s="112" t="e">
        <f>VLOOKUP($D67,Table1[#All],4,FALSE)</f>
        <v>#N/A</v>
      </c>
      <c r="L67" s="113"/>
      <c r="M67" s="114" t="e">
        <f t="shared" si="1"/>
        <v>#N/A</v>
      </c>
      <c r="N67" s="126"/>
    </row>
    <row r="68" spans="1:14" ht="24" x14ac:dyDescent="0.3">
      <c r="A68" s="53"/>
      <c r="B68" s="53"/>
      <c r="C68" s="125"/>
      <c r="D68" s="109"/>
      <c r="E68" s="215" t="e">
        <f>VLOOKUP($D68,Table1[#All],2,FALSE)</f>
        <v>#N/A</v>
      </c>
      <c r="F68" s="215"/>
      <c r="G68" s="215"/>
      <c r="H68" s="110" t="e">
        <f>VLOOKUP($D68,Table1[#All],3,FALSE)</f>
        <v>#N/A</v>
      </c>
      <c r="I68" s="110"/>
      <c r="J68" s="111"/>
      <c r="K68" s="112" t="e">
        <f>VLOOKUP($D68,Table1[#All],4,FALSE)</f>
        <v>#N/A</v>
      </c>
      <c r="L68" s="113"/>
      <c r="M68" s="114" t="e">
        <f t="shared" si="1"/>
        <v>#N/A</v>
      </c>
      <c r="N68" s="126"/>
    </row>
    <row r="69" spans="1:14" ht="24" x14ac:dyDescent="0.3">
      <c r="A69" s="53"/>
      <c r="B69" s="53"/>
      <c r="C69" s="125"/>
      <c r="D69" s="109"/>
      <c r="E69" s="215" t="e">
        <f>VLOOKUP($D69,Table1[#All],2,FALSE)</f>
        <v>#N/A</v>
      </c>
      <c r="F69" s="215"/>
      <c r="G69" s="215"/>
      <c r="H69" s="110" t="e">
        <f>VLOOKUP($D69,Table1[#All],3,FALSE)</f>
        <v>#N/A</v>
      </c>
      <c r="I69" s="110"/>
      <c r="J69" s="111"/>
      <c r="K69" s="112" t="e">
        <f>VLOOKUP($D69,Table1[#All],4,FALSE)</f>
        <v>#N/A</v>
      </c>
      <c r="L69" s="113"/>
      <c r="M69" s="114" t="e">
        <f t="shared" si="1"/>
        <v>#N/A</v>
      </c>
      <c r="N69" s="126"/>
    </row>
    <row r="70" spans="1:14" ht="24" x14ac:dyDescent="0.3">
      <c r="A70" s="53"/>
      <c r="B70" s="53"/>
      <c r="C70" s="125"/>
      <c r="D70" s="109"/>
      <c r="E70" s="215" t="e">
        <f>VLOOKUP($D70,Table1[#All],2,FALSE)</f>
        <v>#N/A</v>
      </c>
      <c r="F70" s="215"/>
      <c r="G70" s="215"/>
      <c r="H70" s="110" t="e">
        <f>VLOOKUP($D70,Table1[#All],3,FALSE)</f>
        <v>#N/A</v>
      </c>
      <c r="I70" s="110"/>
      <c r="J70" s="111"/>
      <c r="K70" s="112" t="e">
        <f>VLOOKUP($D70,Table1[#All],4,FALSE)</f>
        <v>#N/A</v>
      </c>
      <c r="L70" s="113"/>
      <c r="M70" s="114" t="e">
        <f t="shared" si="1"/>
        <v>#N/A</v>
      </c>
      <c r="N70" s="126"/>
    </row>
    <row r="71" spans="1:14" ht="24" x14ac:dyDescent="0.3">
      <c r="A71" s="53"/>
      <c r="B71" s="53"/>
      <c r="C71" s="125"/>
      <c r="D71" s="109"/>
      <c r="E71" s="215" t="e">
        <f>VLOOKUP($D71,Table1[#All],2,FALSE)</f>
        <v>#N/A</v>
      </c>
      <c r="F71" s="215"/>
      <c r="G71" s="215"/>
      <c r="H71" s="110" t="e">
        <f>VLOOKUP($D71,Table1[#All],3,FALSE)</f>
        <v>#N/A</v>
      </c>
      <c r="I71" s="110"/>
      <c r="J71" s="111"/>
      <c r="K71" s="112" t="e">
        <f>VLOOKUP($D71,Table1[#All],4,FALSE)</f>
        <v>#N/A</v>
      </c>
      <c r="L71" s="113"/>
      <c r="M71" s="114" t="e">
        <f t="shared" si="1"/>
        <v>#N/A</v>
      </c>
      <c r="N71" s="126"/>
    </row>
    <row r="72" spans="1:14" ht="24" x14ac:dyDescent="0.3">
      <c r="A72" s="53"/>
      <c r="B72" s="53"/>
      <c r="C72" s="125"/>
      <c r="D72" s="109"/>
      <c r="E72" s="215" t="e">
        <f>VLOOKUP($D72,Table1[#All],2,FALSE)</f>
        <v>#N/A</v>
      </c>
      <c r="F72" s="215"/>
      <c r="G72" s="215"/>
      <c r="H72" s="110" t="e">
        <f>VLOOKUP($D72,Table1[#All],3,FALSE)</f>
        <v>#N/A</v>
      </c>
      <c r="I72" s="110"/>
      <c r="J72" s="111"/>
      <c r="K72" s="112" t="e">
        <f>VLOOKUP($D72,Table1[#All],4,FALSE)</f>
        <v>#N/A</v>
      </c>
      <c r="L72" s="113"/>
      <c r="M72" s="114" t="e">
        <f t="shared" si="1"/>
        <v>#N/A</v>
      </c>
      <c r="N72" s="126"/>
    </row>
    <row r="73" spans="1:14" ht="24" x14ac:dyDescent="0.3">
      <c r="A73" s="53"/>
      <c r="B73" s="53"/>
      <c r="C73" s="125"/>
      <c r="D73" s="109"/>
      <c r="E73" s="215" t="e">
        <f>VLOOKUP($D73,Table1[#All],2,FALSE)</f>
        <v>#N/A</v>
      </c>
      <c r="F73" s="215"/>
      <c r="G73" s="215"/>
      <c r="H73" s="110" t="e">
        <f>VLOOKUP($D73,Table1[#All],3,FALSE)</f>
        <v>#N/A</v>
      </c>
      <c r="I73" s="110"/>
      <c r="J73" s="111"/>
      <c r="K73" s="112" t="e">
        <f>VLOOKUP($D73,Table1[#All],4,FALSE)</f>
        <v>#N/A</v>
      </c>
      <c r="L73" s="113"/>
      <c r="M73" s="114" t="e">
        <f t="shared" si="1"/>
        <v>#N/A</v>
      </c>
      <c r="N73" s="126"/>
    </row>
    <row r="74" spans="1:14" ht="24" x14ac:dyDescent="0.3">
      <c r="A74" s="53"/>
      <c r="B74" s="53"/>
      <c r="C74" s="125"/>
      <c r="D74" s="109"/>
      <c r="E74" s="215" t="e">
        <f>VLOOKUP($D74,Table1[#All],2,FALSE)</f>
        <v>#N/A</v>
      </c>
      <c r="F74" s="215"/>
      <c r="G74" s="215"/>
      <c r="H74" s="110" t="e">
        <f>VLOOKUP($D74,Table1[#All],3,FALSE)</f>
        <v>#N/A</v>
      </c>
      <c r="I74" s="110"/>
      <c r="J74" s="111"/>
      <c r="K74" s="112" t="e">
        <f>VLOOKUP($D74,Table1[#All],4,FALSE)</f>
        <v>#N/A</v>
      </c>
      <c r="L74" s="113"/>
      <c r="M74" s="114" t="e">
        <f t="shared" si="1"/>
        <v>#N/A</v>
      </c>
      <c r="N74" s="126"/>
    </row>
    <row r="75" spans="1:14" ht="24" x14ac:dyDescent="0.3">
      <c r="A75" s="53"/>
      <c r="B75" s="53"/>
      <c r="C75" s="125"/>
      <c r="D75" s="109"/>
      <c r="E75" s="215" t="e">
        <f>VLOOKUP($D75,Table1[#All],2,FALSE)</f>
        <v>#N/A</v>
      </c>
      <c r="F75" s="215"/>
      <c r="G75" s="215"/>
      <c r="H75" s="110" t="e">
        <f>VLOOKUP($D75,Table1[#All],3,FALSE)</f>
        <v>#N/A</v>
      </c>
      <c r="I75" s="110"/>
      <c r="J75" s="111"/>
      <c r="K75" s="112" t="e">
        <f>VLOOKUP($D75,Table1[#All],4,FALSE)</f>
        <v>#N/A</v>
      </c>
      <c r="L75" s="113"/>
      <c r="M75" s="114" t="e">
        <f t="shared" si="1"/>
        <v>#N/A</v>
      </c>
      <c r="N75" s="126"/>
    </row>
    <row r="76" spans="1:14" ht="24" x14ac:dyDescent="0.3">
      <c r="A76" s="53"/>
      <c r="B76" s="53"/>
      <c r="C76" s="125"/>
      <c r="D76" s="109"/>
      <c r="E76" s="215" t="e">
        <f>VLOOKUP($D76,Table1[#All],2,FALSE)</f>
        <v>#N/A</v>
      </c>
      <c r="F76" s="215"/>
      <c r="G76" s="215"/>
      <c r="H76" s="110" t="e">
        <f>VLOOKUP($D76,Table1[#All],3,FALSE)</f>
        <v>#N/A</v>
      </c>
      <c r="I76" s="110"/>
      <c r="J76" s="111"/>
      <c r="K76" s="112" t="e">
        <f>VLOOKUP($D76,Table1[#All],4,FALSE)</f>
        <v>#N/A</v>
      </c>
      <c r="L76" s="113"/>
      <c r="M76" s="114" t="e">
        <f t="shared" si="1"/>
        <v>#N/A</v>
      </c>
      <c r="N76" s="126"/>
    </row>
    <row r="77" spans="1:14" ht="24" x14ac:dyDescent="0.3">
      <c r="A77" s="53"/>
      <c r="B77" s="53"/>
      <c r="C77" s="125"/>
      <c r="D77" s="109"/>
      <c r="E77" s="215" t="e">
        <f>VLOOKUP($D77,Table1[#All],2,FALSE)</f>
        <v>#N/A</v>
      </c>
      <c r="F77" s="215"/>
      <c r="G77" s="215"/>
      <c r="H77" s="110" t="e">
        <f>VLOOKUP($D77,Table1[#All],3,FALSE)</f>
        <v>#N/A</v>
      </c>
      <c r="I77" s="110"/>
      <c r="J77" s="111"/>
      <c r="K77" s="112" t="e">
        <f>VLOOKUP($D77,Table1[#All],4,FALSE)</f>
        <v>#N/A</v>
      </c>
      <c r="L77" s="113"/>
      <c r="M77" s="114" t="e">
        <f t="shared" si="1"/>
        <v>#N/A</v>
      </c>
      <c r="N77" s="126"/>
    </row>
    <row r="78" spans="1:14" ht="24" x14ac:dyDescent="0.3">
      <c r="A78" s="53"/>
      <c r="B78" s="53"/>
      <c r="C78" s="125"/>
      <c r="D78" s="109"/>
      <c r="E78" s="215" t="e">
        <f>VLOOKUP($D78,Table1[#All],2,FALSE)</f>
        <v>#N/A</v>
      </c>
      <c r="F78" s="215"/>
      <c r="G78" s="215"/>
      <c r="H78" s="110" t="e">
        <f>VLOOKUP($D78,Table1[#All],3,FALSE)</f>
        <v>#N/A</v>
      </c>
      <c r="I78" s="110"/>
      <c r="J78" s="111"/>
      <c r="K78" s="112" t="e">
        <f>VLOOKUP($D78,Table1[#All],4,FALSE)</f>
        <v>#N/A</v>
      </c>
      <c r="L78" s="113"/>
      <c r="M78" s="114" t="e">
        <f t="shared" si="1"/>
        <v>#N/A</v>
      </c>
      <c r="N78" s="126"/>
    </row>
    <row r="79" spans="1:14" ht="24" x14ac:dyDescent="0.3">
      <c r="A79" s="53"/>
      <c r="B79" s="53"/>
      <c r="C79" s="125"/>
      <c r="D79" s="109"/>
      <c r="E79" s="215" t="e">
        <f>VLOOKUP($D79,Table1[#All],2,FALSE)</f>
        <v>#N/A</v>
      </c>
      <c r="F79" s="215"/>
      <c r="G79" s="215"/>
      <c r="H79" s="110" t="e">
        <f>VLOOKUP($D79,Table1[#All],3,FALSE)</f>
        <v>#N/A</v>
      </c>
      <c r="I79" s="110"/>
      <c r="J79" s="111"/>
      <c r="K79" s="112" t="e">
        <f>VLOOKUP($D79,Table1[#All],4,FALSE)</f>
        <v>#N/A</v>
      </c>
      <c r="L79" s="113"/>
      <c r="M79" s="114" t="e">
        <f t="shared" si="1"/>
        <v>#N/A</v>
      </c>
      <c r="N79" s="126"/>
    </row>
    <row r="80" spans="1:14" ht="24" x14ac:dyDescent="0.3">
      <c r="A80" s="53"/>
      <c r="B80" s="53"/>
      <c r="C80" s="125"/>
      <c r="D80" s="109"/>
      <c r="E80" s="215" t="e">
        <f>VLOOKUP($D80,Table1[#All],2,FALSE)</f>
        <v>#N/A</v>
      </c>
      <c r="F80" s="215"/>
      <c r="G80" s="215"/>
      <c r="H80" s="110" t="e">
        <f>VLOOKUP($D80,Table1[#All],3,FALSE)</f>
        <v>#N/A</v>
      </c>
      <c r="I80" s="110"/>
      <c r="J80" s="111"/>
      <c r="K80" s="112" t="e">
        <f>VLOOKUP($D80,Table1[#All],4,FALSE)</f>
        <v>#N/A</v>
      </c>
      <c r="L80" s="113"/>
      <c r="M80" s="114" t="e">
        <f t="shared" si="1"/>
        <v>#N/A</v>
      </c>
      <c r="N80" s="126"/>
    </row>
    <row r="81" spans="1:14" ht="24" x14ac:dyDescent="0.3">
      <c r="A81" s="53"/>
      <c r="B81" s="53"/>
      <c r="C81" s="125"/>
      <c r="D81" s="109"/>
      <c r="E81" s="215" t="e">
        <f>VLOOKUP($D81,Table1[#All],2,FALSE)</f>
        <v>#N/A</v>
      </c>
      <c r="F81" s="215"/>
      <c r="G81" s="215"/>
      <c r="H81" s="110" t="e">
        <f>VLOOKUP($D81,Table1[#All],3,FALSE)</f>
        <v>#N/A</v>
      </c>
      <c r="I81" s="110"/>
      <c r="J81" s="111"/>
      <c r="K81" s="112" t="e">
        <f>VLOOKUP($D81,Table1[#All],4,FALSE)</f>
        <v>#N/A</v>
      </c>
      <c r="L81" s="113"/>
      <c r="M81" s="114" t="e">
        <f t="shared" si="1"/>
        <v>#N/A</v>
      </c>
      <c r="N81" s="126"/>
    </row>
    <row r="82" spans="1:14" ht="24" x14ac:dyDescent="0.3">
      <c r="A82" s="53"/>
      <c r="B82" s="53"/>
      <c r="C82" s="125"/>
      <c r="D82" s="109"/>
      <c r="E82" s="215" t="e">
        <f>VLOOKUP($D82,Table1[#All],2,FALSE)</f>
        <v>#N/A</v>
      </c>
      <c r="F82" s="215"/>
      <c r="G82" s="215"/>
      <c r="H82" s="110" t="e">
        <f>VLOOKUP($D82,Table1[#All],3,FALSE)</f>
        <v>#N/A</v>
      </c>
      <c r="I82" s="110"/>
      <c r="J82" s="111"/>
      <c r="K82" s="112" t="e">
        <f>VLOOKUP($D82,Table1[#All],4,FALSE)</f>
        <v>#N/A</v>
      </c>
      <c r="L82" s="113"/>
      <c r="M82" s="114" t="e">
        <f t="shared" si="1"/>
        <v>#N/A</v>
      </c>
      <c r="N82" s="126"/>
    </row>
    <row r="83" spans="1:14" ht="24" x14ac:dyDescent="0.3">
      <c r="A83" s="53"/>
      <c r="B83" s="53"/>
      <c r="C83" s="125"/>
      <c r="D83" s="109"/>
      <c r="E83" s="215" t="e">
        <f>VLOOKUP($D83,Table1[#All],2,FALSE)</f>
        <v>#N/A</v>
      </c>
      <c r="F83" s="215"/>
      <c r="G83" s="215"/>
      <c r="H83" s="110" t="e">
        <f>VLOOKUP($D83,Table1[#All],3,FALSE)</f>
        <v>#N/A</v>
      </c>
      <c r="I83" s="110"/>
      <c r="J83" s="111"/>
      <c r="K83" s="112" t="e">
        <f>VLOOKUP($D83,Table1[#All],4,FALSE)</f>
        <v>#N/A</v>
      </c>
      <c r="L83" s="113"/>
      <c r="M83" s="114" t="e">
        <f t="shared" si="1"/>
        <v>#N/A</v>
      </c>
      <c r="N83" s="126"/>
    </row>
    <row r="84" spans="1:14" ht="24" x14ac:dyDescent="0.3">
      <c r="A84" s="53"/>
      <c r="B84" s="53"/>
      <c r="C84" s="125"/>
      <c r="D84" s="109"/>
      <c r="E84" s="215" t="e">
        <f>VLOOKUP($D84,Table1[#All],2,FALSE)</f>
        <v>#N/A</v>
      </c>
      <c r="F84" s="215"/>
      <c r="G84" s="215"/>
      <c r="H84" s="110" t="e">
        <f>VLOOKUP($D84,Table1[#All],3,FALSE)</f>
        <v>#N/A</v>
      </c>
      <c r="I84" s="110"/>
      <c r="J84" s="111"/>
      <c r="K84" s="112" t="e">
        <f>VLOOKUP($D84,Table1[#All],4,FALSE)</f>
        <v>#N/A</v>
      </c>
      <c r="L84" s="113"/>
      <c r="M84" s="114" t="e">
        <f t="shared" si="1"/>
        <v>#N/A</v>
      </c>
      <c r="N84" s="126"/>
    </row>
    <row r="85" spans="1:14" ht="24" x14ac:dyDescent="0.3">
      <c r="A85" s="53"/>
      <c r="B85" s="53"/>
      <c r="C85" s="125"/>
      <c r="D85" s="109"/>
      <c r="E85" s="215" t="e">
        <f>VLOOKUP($D85,Table1[#All],2,FALSE)</f>
        <v>#N/A</v>
      </c>
      <c r="F85" s="215"/>
      <c r="G85" s="215"/>
      <c r="H85" s="110" t="e">
        <f>VLOOKUP($D85,Table1[#All],3,FALSE)</f>
        <v>#N/A</v>
      </c>
      <c r="I85" s="110"/>
      <c r="J85" s="111"/>
      <c r="K85" s="112" t="e">
        <f>VLOOKUP($D85,Table1[#All],4,FALSE)</f>
        <v>#N/A</v>
      </c>
      <c r="L85" s="113"/>
      <c r="M85" s="114" t="e">
        <f t="shared" si="1"/>
        <v>#N/A</v>
      </c>
      <c r="N85" s="126"/>
    </row>
    <row r="86" spans="1:14" ht="24" x14ac:dyDescent="0.3">
      <c r="A86" s="53"/>
      <c r="B86" s="53"/>
      <c r="C86" s="125"/>
      <c r="D86" s="109"/>
      <c r="E86" s="215" t="e">
        <f>VLOOKUP($D86,Table1[#All],2,FALSE)</f>
        <v>#N/A</v>
      </c>
      <c r="F86" s="215"/>
      <c r="G86" s="215"/>
      <c r="H86" s="110" t="e">
        <f>VLOOKUP($D86,Table1[#All],3,FALSE)</f>
        <v>#N/A</v>
      </c>
      <c r="I86" s="110"/>
      <c r="J86" s="111"/>
      <c r="K86" s="112" t="e">
        <f>VLOOKUP($D86,Table1[#All],4,FALSE)</f>
        <v>#N/A</v>
      </c>
      <c r="L86" s="113"/>
      <c r="M86" s="114" t="e">
        <f t="shared" si="1"/>
        <v>#N/A</v>
      </c>
      <c r="N86" s="126"/>
    </row>
    <row r="87" spans="1:14" ht="24" x14ac:dyDescent="0.3">
      <c r="A87" s="53"/>
      <c r="B87" s="53"/>
      <c r="C87" s="125"/>
      <c r="D87" s="109"/>
      <c r="E87" s="215" t="e">
        <f>VLOOKUP($D87,Table1[#All],2,FALSE)</f>
        <v>#N/A</v>
      </c>
      <c r="F87" s="215"/>
      <c r="G87" s="215"/>
      <c r="H87" s="110" t="e">
        <f>VLOOKUP($D87,Table1[#All],3,FALSE)</f>
        <v>#N/A</v>
      </c>
      <c r="I87" s="110"/>
      <c r="J87" s="111"/>
      <c r="K87" s="112" t="e">
        <f>VLOOKUP($D87,Table1[#All],4,FALSE)</f>
        <v>#N/A</v>
      </c>
      <c r="L87" s="113"/>
      <c r="M87" s="114" t="e">
        <f t="shared" si="1"/>
        <v>#N/A</v>
      </c>
      <c r="N87" s="126"/>
    </row>
    <row r="88" spans="1:14" ht="24" x14ac:dyDescent="0.3">
      <c r="A88" s="53"/>
      <c r="B88" s="53"/>
      <c r="C88" s="125"/>
      <c r="D88" s="109"/>
      <c r="E88" s="215" t="e">
        <f>VLOOKUP($D88,Table1[#All],2,FALSE)</f>
        <v>#N/A</v>
      </c>
      <c r="F88" s="215"/>
      <c r="G88" s="215"/>
      <c r="H88" s="110" t="e">
        <f>VLOOKUP($D88,Table1[#All],3,FALSE)</f>
        <v>#N/A</v>
      </c>
      <c r="I88" s="110"/>
      <c r="J88" s="111"/>
      <c r="K88" s="112" t="e">
        <f>VLOOKUP($D88,Table1[#All],4,FALSE)</f>
        <v>#N/A</v>
      </c>
      <c r="L88" s="113"/>
      <c r="M88" s="114" t="e">
        <f t="shared" si="1"/>
        <v>#N/A</v>
      </c>
      <c r="N88" s="126"/>
    </row>
    <row r="89" spans="1:14" ht="24" x14ac:dyDescent="0.3">
      <c r="A89" s="53"/>
      <c r="B89" s="53"/>
      <c r="C89" s="125"/>
      <c r="D89" s="109"/>
      <c r="E89" s="215" t="e">
        <f>VLOOKUP($D89,Table1[#All],2,FALSE)</f>
        <v>#N/A</v>
      </c>
      <c r="F89" s="215"/>
      <c r="G89" s="215"/>
      <c r="H89" s="110" t="e">
        <f>VLOOKUP($D89,Table1[#All],3,FALSE)</f>
        <v>#N/A</v>
      </c>
      <c r="I89" s="110"/>
      <c r="J89" s="111"/>
      <c r="K89" s="112" t="e">
        <f>VLOOKUP($D89,Table1[#All],4,FALSE)</f>
        <v>#N/A</v>
      </c>
      <c r="L89" s="113"/>
      <c r="M89" s="114" t="e">
        <f t="shared" si="1"/>
        <v>#N/A</v>
      </c>
      <c r="N89" s="126"/>
    </row>
    <row r="90" spans="1:14" ht="24" x14ac:dyDescent="0.3">
      <c r="A90" s="145"/>
      <c r="B90" s="145"/>
      <c r="C90" s="155"/>
      <c r="D90" s="154"/>
      <c r="E90" s="172" t="s">
        <v>492</v>
      </c>
      <c r="F90" s="172"/>
      <c r="G90" s="172"/>
      <c r="H90" s="156"/>
      <c r="I90" s="156"/>
      <c r="J90" s="157"/>
      <c r="K90" s="158"/>
      <c r="L90" s="159"/>
      <c r="M90" s="160" t="e">
        <f>SUM(M44:M89)-(SUM(M44:M89)*0.95)</f>
        <v>#N/A</v>
      </c>
      <c r="N90" s="161"/>
    </row>
    <row r="91" spans="1:14" ht="24" x14ac:dyDescent="0.3">
      <c r="A91" s="145"/>
      <c r="B91" s="145"/>
      <c r="C91" s="155"/>
      <c r="D91" s="154"/>
      <c r="E91" s="172" t="s">
        <v>493</v>
      </c>
      <c r="F91" s="172"/>
      <c r="G91" s="172"/>
      <c r="H91" s="156"/>
      <c r="I91" s="156"/>
      <c r="J91" s="157"/>
      <c r="K91" s="158"/>
      <c r="L91" s="159"/>
      <c r="M91" s="160" t="e">
        <f>SUM(M44:M89)-(SUM(M44:M89)*0.9)</f>
        <v>#N/A</v>
      </c>
      <c r="N91" s="161"/>
    </row>
    <row r="92" spans="1:14" ht="25" thickBot="1" x14ac:dyDescent="0.35">
      <c r="A92" s="145"/>
      <c r="B92" s="145"/>
      <c r="C92" s="146"/>
      <c r="D92" s="147"/>
      <c r="E92" s="248" t="s">
        <v>494</v>
      </c>
      <c r="F92" s="248"/>
      <c r="G92" s="248"/>
      <c r="H92" s="148"/>
      <c r="I92" s="148"/>
      <c r="J92" s="149"/>
      <c r="K92" s="150"/>
      <c r="L92" s="151"/>
      <c r="M92" s="160" t="e">
        <f>SUM(M44:M89)-(SUM(M44:M89)*0.85)</f>
        <v>#N/A</v>
      </c>
      <c r="N92" s="152"/>
    </row>
    <row r="93" spans="1:14" ht="31.25" customHeight="1" thickBot="1" x14ac:dyDescent="0.3">
      <c r="A93" s="142"/>
      <c r="B93" s="142"/>
      <c r="C93" s="258" t="s">
        <v>496</v>
      </c>
      <c r="D93" s="258"/>
      <c r="E93" s="258"/>
      <c r="F93" s="258"/>
      <c r="G93" s="241" t="s">
        <v>460</v>
      </c>
      <c r="H93" s="241"/>
      <c r="I93" s="241"/>
      <c r="J93" s="241"/>
      <c r="K93" s="241"/>
      <c r="L93" s="241"/>
      <c r="M93" s="171" t="e">
        <f>SUM(M44:M92)</f>
        <v>#N/A</v>
      </c>
      <c r="N93" s="143"/>
    </row>
    <row r="94" spans="1:14" ht="30" customHeight="1" x14ac:dyDescent="0.3">
      <c r="A94" s="53"/>
      <c r="B94" s="53"/>
      <c r="C94" s="259" t="s">
        <v>495</v>
      </c>
      <c r="D94" s="259"/>
      <c r="E94" s="259"/>
      <c r="F94" s="259"/>
      <c r="G94" s="259"/>
      <c r="H94" s="259"/>
      <c r="I94" s="259"/>
      <c r="J94" s="259"/>
      <c r="K94" s="259"/>
      <c r="L94" s="259"/>
      <c r="M94" s="259"/>
      <c r="N94" s="115"/>
    </row>
    <row r="95" spans="1:14" ht="25" thickBot="1" x14ac:dyDescent="0.35">
      <c r="A95" s="53"/>
      <c r="B95" s="53"/>
      <c r="C95" s="239" t="s">
        <v>467</v>
      </c>
      <c r="D95" s="239"/>
      <c r="E95" s="239"/>
      <c r="F95" s="239"/>
      <c r="G95" s="239"/>
      <c r="H95" s="239"/>
      <c r="I95" s="239"/>
      <c r="J95" s="111"/>
      <c r="K95" s="112"/>
      <c r="L95" s="113"/>
      <c r="M95" s="114"/>
      <c r="N95" s="115"/>
    </row>
    <row r="96" spans="1:14" ht="25" x14ac:dyDescent="0.3">
      <c r="A96" s="53"/>
      <c r="B96" s="53"/>
      <c r="C96" s="130"/>
      <c r="D96" s="131" t="s">
        <v>448</v>
      </c>
      <c r="E96" s="237" t="str">
        <f>VLOOKUP($D96,Table1[#All],2,FALSE)</f>
        <v>Lab fee, approx. NOT FINAL AMOUNT -Occlusal Guard</v>
      </c>
      <c r="F96" s="237"/>
      <c r="G96" s="237"/>
      <c r="H96" s="132" t="str">
        <f>VLOOKUP($D96,Table1[#All],3,FALSE)</f>
        <v>IZ46.3</v>
      </c>
      <c r="I96" s="132"/>
      <c r="J96" s="133"/>
      <c r="K96" s="134">
        <f>VLOOKUP($D96,Table1[#All],4,FALSE)</f>
        <v>1211</v>
      </c>
      <c r="L96" s="135"/>
      <c r="M96" s="136">
        <f t="shared" si="1"/>
        <v>0</v>
      </c>
      <c r="N96" s="137"/>
    </row>
    <row r="97" spans="1:15" ht="24" x14ac:dyDescent="0.3">
      <c r="A97" s="53"/>
      <c r="B97" s="53"/>
      <c r="C97" s="125"/>
      <c r="D97" s="109"/>
      <c r="E97" s="215" t="e">
        <f>VLOOKUP($D97,Table1[#All],2,FALSE)</f>
        <v>#N/A</v>
      </c>
      <c r="F97" s="215"/>
      <c r="G97" s="215"/>
      <c r="H97" s="110" t="e">
        <f>VLOOKUP($D97,Table1[#All],3,FALSE)</f>
        <v>#N/A</v>
      </c>
      <c r="I97" s="110"/>
      <c r="J97" s="111"/>
      <c r="K97" s="112" t="e">
        <f>VLOOKUP($D97,Table1[#All],4,FALSE)</f>
        <v>#N/A</v>
      </c>
      <c r="L97" s="113"/>
      <c r="M97" s="114" t="e">
        <f t="shared" si="1"/>
        <v>#N/A</v>
      </c>
      <c r="N97" s="126"/>
    </row>
    <row r="98" spans="1:15" ht="24" x14ac:dyDescent="0.3">
      <c r="A98" s="53"/>
      <c r="B98" s="53"/>
      <c r="C98" s="125"/>
      <c r="D98" s="109"/>
      <c r="E98" s="215" t="e">
        <f>VLOOKUP($D98,Table1[#All],2,FALSE)</f>
        <v>#N/A</v>
      </c>
      <c r="F98" s="215"/>
      <c r="G98" s="215"/>
      <c r="H98" s="110" t="e">
        <f>VLOOKUP($D98,Table1[#All],3,FALSE)</f>
        <v>#N/A</v>
      </c>
      <c r="I98" s="110"/>
      <c r="J98" s="111"/>
      <c r="K98" s="112" t="e">
        <f>VLOOKUP($D98,Table1[#All],4,FALSE)</f>
        <v>#N/A</v>
      </c>
      <c r="L98" s="113"/>
      <c r="M98" s="114" t="e">
        <f t="shared" si="1"/>
        <v>#N/A</v>
      </c>
      <c r="N98" s="126"/>
    </row>
    <row r="99" spans="1:15" ht="24" x14ac:dyDescent="0.3">
      <c r="A99" s="53"/>
      <c r="B99" s="53"/>
      <c r="C99" s="125"/>
      <c r="D99" s="109"/>
      <c r="E99" s="215" t="e">
        <f>VLOOKUP($D99,Table1[#All],2,FALSE)</f>
        <v>#N/A</v>
      </c>
      <c r="F99" s="215"/>
      <c r="G99" s="215"/>
      <c r="H99" s="110" t="e">
        <f>VLOOKUP($D99,Table1[#All],3,FALSE)</f>
        <v>#N/A</v>
      </c>
      <c r="I99" s="110"/>
      <c r="J99" s="111"/>
      <c r="K99" s="112" t="e">
        <f>VLOOKUP($D99,Table1[#All],4,FALSE)</f>
        <v>#N/A</v>
      </c>
      <c r="L99" s="113"/>
      <c r="M99" s="114" t="e">
        <f t="shared" si="1"/>
        <v>#N/A</v>
      </c>
      <c r="N99" s="126"/>
    </row>
    <row r="100" spans="1:15" ht="24" x14ac:dyDescent="0.3">
      <c r="A100" s="53"/>
      <c r="B100" s="53"/>
      <c r="C100" s="125"/>
      <c r="D100" s="109"/>
      <c r="E100" s="215" t="e">
        <f>VLOOKUP($D100,Table1[#All],2,FALSE)</f>
        <v>#N/A</v>
      </c>
      <c r="F100" s="215"/>
      <c r="G100" s="215"/>
      <c r="H100" s="110" t="e">
        <f>VLOOKUP($D100,Table1[#All],3,FALSE)</f>
        <v>#N/A</v>
      </c>
      <c r="I100" s="110"/>
      <c r="J100" s="111"/>
      <c r="K100" s="112" t="e">
        <f>VLOOKUP($D100,Table1[#All],4,FALSE)</f>
        <v>#N/A</v>
      </c>
      <c r="L100" s="113"/>
      <c r="M100" s="114" t="e">
        <f t="shared" si="1"/>
        <v>#N/A</v>
      </c>
      <c r="N100" s="126"/>
    </row>
    <row r="101" spans="1:15" ht="25" thickBot="1" x14ac:dyDescent="0.35">
      <c r="A101" s="53"/>
      <c r="B101" s="53"/>
      <c r="C101" s="128"/>
      <c r="D101" s="138"/>
      <c r="E101" s="139" t="s">
        <v>468</v>
      </c>
      <c r="F101" s="139"/>
      <c r="G101" s="139"/>
      <c r="H101" s="139"/>
      <c r="I101" s="139"/>
      <c r="J101" s="139"/>
      <c r="K101" s="140"/>
      <c r="L101" s="129"/>
      <c r="M101" s="140" t="e">
        <f>SUM(M96:M100)</f>
        <v>#N/A</v>
      </c>
      <c r="N101" s="141"/>
    </row>
    <row r="102" spans="1:15" ht="30" thickBot="1" x14ac:dyDescent="0.4">
      <c r="A102" s="68"/>
      <c r="B102" s="68"/>
      <c r="C102" s="69"/>
      <c r="D102" s="116"/>
      <c r="E102" s="117"/>
      <c r="F102" s="117"/>
      <c r="G102" s="236" t="s">
        <v>358</v>
      </c>
      <c r="H102" s="236"/>
      <c r="I102" s="236"/>
      <c r="J102" s="236"/>
      <c r="K102" s="236"/>
      <c r="L102" s="236"/>
      <c r="M102" s="118" t="e">
        <f>SUM(M96:M100)+M93</f>
        <v>#N/A</v>
      </c>
      <c r="N102" s="69"/>
    </row>
    <row r="103" spans="1:15" ht="24" x14ac:dyDescent="0.3">
      <c r="A103" s="53"/>
      <c r="B103" s="52"/>
      <c r="C103" s="56"/>
      <c r="D103" s="52"/>
      <c r="E103" s="52"/>
      <c r="F103" s="52"/>
      <c r="G103" s="52"/>
      <c r="H103" s="52"/>
      <c r="I103" s="52"/>
      <c r="J103" s="54"/>
      <c r="K103" s="52"/>
      <c r="L103" s="54"/>
      <c r="M103" s="54"/>
      <c r="N103" s="54"/>
    </row>
    <row r="104" spans="1:15" ht="77" customHeight="1" x14ac:dyDescent="0.3">
      <c r="A104" s="53"/>
      <c r="B104" s="52"/>
      <c r="C104" s="56"/>
      <c r="D104" s="52"/>
      <c r="E104" s="52"/>
      <c r="F104" s="52"/>
      <c r="G104" s="52"/>
      <c r="H104" s="52"/>
      <c r="I104" s="52"/>
      <c r="J104" s="54"/>
      <c r="K104" s="52"/>
      <c r="L104" s="54"/>
      <c r="M104" s="54"/>
      <c r="N104" s="54"/>
    </row>
    <row r="105" spans="1:15" ht="26" x14ac:dyDescent="0.3">
      <c r="A105" s="75"/>
      <c r="B105" s="76"/>
      <c r="C105" s="77"/>
      <c r="D105" s="216" t="s">
        <v>470</v>
      </c>
      <c r="E105" s="216"/>
      <c r="F105" s="216"/>
      <c r="G105" s="216" t="s">
        <v>469</v>
      </c>
      <c r="H105" s="216"/>
      <c r="I105" s="216"/>
      <c r="J105" s="216"/>
      <c r="K105" s="216"/>
      <c r="L105" s="216"/>
      <c r="M105" s="78"/>
      <c r="N105" s="78"/>
    </row>
    <row r="106" spans="1:15" ht="26" x14ac:dyDescent="0.3">
      <c r="A106" s="75"/>
      <c r="B106" s="76"/>
      <c r="C106" s="77"/>
      <c r="D106" s="76"/>
      <c r="E106" s="76"/>
      <c r="F106" s="76"/>
      <c r="G106" s="76"/>
      <c r="H106" s="76"/>
      <c r="I106" s="76"/>
      <c r="J106" s="78"/>
      <c r="K106" s="76"/>
      <c r="L106" s="78"/>
      <c r="M106" s="78"/>
      <c r="N106" s="78"/>
    </row>
    <row r="107" spans="1:15" ht="26" x14ac:dyDescent="0.3">
      <c r="A107" s="75"/>
      <c r="B107" s="76"/>
      <c r="C107" s="77"/>
      <c r="D107" s="76"/>
      <c r="E107" s="76"/>
      <c r="F107" s="76"/>
      <c r="G107" s="76"/>
      <c r="H107" s="76"/>
      <c r="I107" s="76"/>
      <c r="J107" s="78"/>
      <c r="K107" s="76"/>
      <c r="L107" s="78"/>
      <c r="M107" s="78"/>
      <c r="N107" s="78"/>
    </row>
    <row r="108" spans="1:15" ht="26" customHeight="1" x14ac:dyDescent="0.3">
      <c r="A108" s="75"/>
      <c r="B108" s="76"/>
      <c r="C108" s="77"/>
      <c r="D108" s="76"/>
      <c r="E108" s="76"/>
      <c r="F108" s="76"/>
      <c r="G108" s="76"/>
      <c r="H108" s="76"/>
      <c r="I108" s="76"/>
      <c r="J108" s="78"/>
      <c r="K108" s="76"/>
      <c r="L108" s="78"/>
      <c r="M108" s="78"/>
      <c r="N108" s="78"/>
    </row>
    <row r="109" spans="1:15" ht="26" x14ac:dyDescent="0.3">
      <c r="A109" s="75"/>
      <c r="B109" s="76"/>
      <c r="C109" s="77"/>
      <c r="D109" s="76"/>
      <c r="E109" s="76"/>
      <c r="F109" s="76"/>
      <c r="G109" s="76"/>
      <c r="H109" s="76"/>
      <c r="I109" s="76"/>
      <c r="J109" s="78"/>
      <c r="K109" s="76"/>
      <c r="L109" s="78"/>
      <c r="M109" s="78"/>
      <c r="N109" s="78"/>
    </row>
    <row r="110" spans="1:15" ht="26" customHeight="1" x14ac:dyDescent="0.3">
      <c r="A110" s="75"/>
      <c r="B110" s="76"/>
      <c r="C110" s="77"/>
      <c r="D110" s="76"/>
      <c r="E110" s="76"/>
      <c r="F110" s="76"/>
      <c r="G110" s="76"/>
      <c r="H110" s="76"/>
      <c r="I110" s="76"/>
      <c r="J110" s="78"/>
      <c r="K110" s="76"/>
      <c r="L110" s="78"/>
      <c r="M110" s="78"/>
      <c r="N110" s="78"/>
    </row>
    <row r="111" spans="1:15" ht="26" x14ac:dyDescent="0.3">
      <c r="A111" s="75"/>
      <c r="B111" s="76"/>
      <c r="C111" s="77"/>
      <c r="D111" s="76"/>
      <c r="E111" s="76"/>
      <c r="F111" s="76"/>
      <c r="G111" s="76"/>
      <c r="H111" s="76"/>
      <c r="I111" s="76"/>
      <c r="J111" s="78"/>
      <c r="K111" s="76"/>
      <c r="L111" s="78"/>
      <c r="M111" s="78"/>
      <c r="N111" s="78"/>
    </row>
    <row r="112" spans="1:15" ht="26" x14ac:dyDescent="0.3">
      <c r="A112" s="75"/>
      <c r="B112" s="76"/>
      <c r="C112" s="77"/>
      <c r="D112" s="76"/>
      <c r="E112" s="76"/>
      <c r="F112" s="76"/>
      <c r="G112" s="76"/>
      <c r="H112" s="76"/>
      <c r="I112" s="76"/>
      <c r="J112" s="78"/>
      <c r="K112" s="76"/>
      <c r="L112" s="78"/>
      <c r="M112" s="78"/>
      <c r="N112" s="78"/>
      <c r="O112" s="75"/>
    </row>
    <row r="113" spans="1:15" ht="26" customHeight="1" x14ac:dyDescent="0.3">
      <c r="A113" s="75"/>
      <c r="B113" s="76"/>
      <c r="C113" s="77"/>
      <c r="D113" s="76"/>
      <c r="E113" s="76"/>
      <c r="F113" s="76"/>
      <c r="G113" s="76"/>
      <c r="H113" s="76"/>
      <c r="I113" s="76"/>
      <c r="J113" s="78"/>
      <c r="K113" s="76"/>
      <c r="L113" s="78"/>
      <c r="M113" s="78"/>
      <c r="N113" s="78"/>
      <c r="O113" s="75"/>
    </row>
    <row r="114" spans="1:15" ht="26" customHeight="1" x14ac:dyDescent="0.3">
      <c r="A114" s="75"/>
      <c r="B114" s="76"/>
      <c r="C114" s="77"/>
      <c r="D114" s="76"/>
      <c r="E114" s="76"/>
      <c r="F114" s="76"/>
      <c r="G114" s="76"/>
      <c r="H114" s="76"/>
      <c r="I114" s="76"/>
      <c r="J114" s="78"/>
      <c r="K114" s="76"/>
      <c r="L114" s="78"/>
      <c r="M114" s="78"/>
      <c r="N114" s="78"/>
      <c r="O114" s="75"/>
    </row>
    <row r="115" spans="1:15" ht="26" x14ac:dyDescent="0.3">
      <c r="A115" s="75"/>
      <c r="B115" s="214" t="s">
        <v>376</v>
      </c>
      <c r="C115" s="214"/>
      <c r="D115" s="214"/>
      <c r="E115" s="214"/>
      <c r="F115" s="214"/>
      <c r="G115" s="214"/>
      <c r="H115" s="214"/>
      <c r="I115" s="214"/>
      <c r="J115" s="214"/>
      <c r="K115" s="214"/>
      <c r="L115" s="214"/>
      <c r="M115" s="78"/>
      <c r="N115" s="78"/>
      <c r="O115" s="75"/>
    </row>
    <row r="116" spans="1:15" ht="26" customHeight="1" x14ac:dyDescent="0.3">
      <c r="A116" s="75"/>
      <c r="B116" s="76"/>
      <c r="C116" s="77"/>
      <c r="D116" s="76"/>
      <c r="E116" s="76"/>
      <c r="F116" s="76"/>
      <c r="G116" s="76"/>
      <c r="H116" s="76"/>
      <c r="I116" s="76"/>
      <c r="J116" s="78"/>
      <c r="K116" s="76"/>
      <c r="L116" s="78"/>
      <c r="M116" s="78"/>
      <c r="N116" s="78"/>
      <c r="O116" s="75"/>
    </row>
    <row r="117" spans="1:15" ht="26" customHeight="1" x14ac:dyDescent="0.3">
      <c r="A117" s="75"/>
      <c r="B117" s="214" t="s">
        <v>368</v>
      </c>
      <c r="C117" s="214"/>
      <c r="D117" s="214"/>
      <c r="E117" s="214"/>
      <c r="F117" s="214"/>
      <c r="G117" s="214"/>
      <c r="H117" s="214"/>
      <c r="I117" s="214"/>
      <c r="J117" s="214"/>
      <c r="K117" s="214"/>
      <c r="L117" s="214"/>
      <c r="M117" s="214"/>
      <c r="N117" s="214"/>
      <c r="O117" s="75"/>
    </row>
    <row r="118" spans="1:15" ht="26" x14ac:dyDescent="0.3">
      <c r="A118" s="75"/>
      <c r="B118" s="76"/>
      <c r="C118" s="77"/>
      <c r="D118" s="77"/>
      <c r="E118" s="77"/>
      <c r="F118" s="77"/>
      <c r="G118" s="77"/>
      <c r="H118" s="77"/>
      <c r="I118" s="77"/>
      <c r="J118" s="77"/>
      <c r="K118" s="77"/>
      <c r="L118" s="77"/>
      <c r="M118" s="77"/>
      <c r="N118" s="77"/>
    </row>
    <row r="119" spans="1:15" ht="26" x14ac:dyDescent="0.3">
      <c r="A119" s="75"/>
      <c r="B119" s="211" t="s">
        <v>466</v>
      </c>
      <c r="C119" s="211"/>
      <c r="D119" s="211"/>
      <c r="E119" s="211"/>
      <c r="F119" s="211"/>
      <c r="G119" s="211"/>
      <c r="H119" s="211"/>
      <c r="I119" s="211"/>
      <c r="J119" s="211"/>
      <c r="K119" s="211"/>
      <c r="L119" s="211"/>
      <c r="M119" s="211"/>
      <c r="N119" s="211"/>
    </row>
    <row r="120" spans="1:15" ht="26" x14ac:dyDescent="0.3">
      <c r="A120" s="75"/>
      <c r="B120" s="76"/>
      <c r="C120" s="77"/>
      <c r="D120" s="51"/>
      <c r="E120" s="51"/>
      <c r="F120" s="51"/>
      <c r="G120" s="76"/>
      <c r="H120" s="76"/>
      <c r="I120" s="76"/>
      <c r="J120" s="78"/>
      <c r="K120" s="76"/>
      <c r="L120" s="78"/>
      <c r="M120" s="48"/>
      <c r="N120" s="48"/>
    </row>
    <row r="121" spans="1:15" ht="26" x14ac:dyDescent="0.3">
      <c r="A121" s="75"/>
      <c r="B121" s="211" t="s">
        <v>364</v>
      </c>
      <c r="C121" s="211"/>
      <c r="D121" s="211"/>
      <c r="E121" s="211"/>
      <c r="F121" s="211"/>
      <c r="G121" s="211"/>
      <c r="H121" s="211"/>
      <c r="I121" s="211"/>
      <c r="J121" s="211"/>
      <c r="K121" s="211"/>
      <c r="L121" s="211"/>
      <c r="M121" s="211"/>
      <c r="N121" s="211"/>
    </row>
    <row r="122" spans="1:15" ht="26" x14ac:dyDescent="0.3">
      <c r="A122" s="75"/>
      <c r="B122" s="76"/>
      <c r="C122" s="77"/>
      <c r="D122" s="51"/>
      <c r="E122" s="51"/>
      <c r="F122" s="51"/>
      <c r="G122" s="76"/>
      <c r="H122" s="76"/>
      <c r="I122" s="76"/>
      <c r="J122" s="78"/>
      <c r="K122" s="76"/>
      <c r="L122" s="78"/>
      <c r="M122" s="48"/>
      <c r="N122" s="48"/>
    </row>
    <row r="123" spans="1:15" ht="26" x14ac:dyDescent="0.3">
      <c r="A123" s="75"/>
      <c r="B123" s="50" t="s">
        <v>471</v>
      </c>
      <c r="C123" s="77"/>
      <c r="D123" s="51"/>
      <c r="E123" s="51"/>
      <c r="F123" s="51"/>
      <c r="G123" s="76"/>
      <c r="H123" s="76"/>
      <c r="I123" s="76"/>
      <c r="J123" s="78"/>
      <c r="K123" s="76"/>
      <c r="L123" s="78"/>
      <c r="M123" s="48"/>
      <c r="N123" s="48"/>
    </row>
    <row r="124" spans="1:15" ht="27" thickBot="1" x14ac:dyDescent="0.35">
      <c r="A124" s="75"/>
      <c r="B124" s="76"/>
      <c r="C124" s="77"/>
      <c r="D124" s="51"/>
      <c r="E124" s="51"/>
      <c r="F124" s="51"/>
      <c r="G124" s="76"/>
      <c r="H124" s="76"/>
      <c r="I124" s="76"/>
      <c r="J124" s="78"/>
      <c r="K124" s="76"/>
      <c r="L124" s="78"/>
      <c r="M124" s="48"/>
      <c r="N124" s="169"/>
    </row>
    <row r="125" spans="1:15" ht="27" thickBot="1" x14ac:dyDescent="0.35">
      <c r="A125" s="75"/>
      <c r="B125" s="166" t="s">
        <v>481</v>
      </c>
      <c r="C125" s="77"/>
      <c r="D125" s="51"/>
      <c r="E125" s="51"/>
      <c r="F125" s="51"/>
      <c r="G125" s="76"/>
      <c r="H125" s="76"/>
      <c r="I125" s="76"/>
      <c r="J125" s="78"/>
      <c r="K125" s="76"/>
      <c r="L125" s="78"/>
      <c r="M125" s="48"/>
      <c r="N125" s="170"/>
    </row>
    <row r="126" spans="1:15" ht="26" x14ac:dyDescent="0.3">
      <c r="A126" s="75"/>
      <c r="B126" s="76"/>
      <c r="C126" s="77"/>
      <c r="D126" s="213" t="s">
        <v>472</v>
      </c>
      <c r="E126" s="213"/>
      <c r="F126" s="213"/>
      <c r="G126" s="213"/>
      <c r="H126" s="213"/>
      <c r="I126" s="213"/>
      <c r="J126" s="213"/>
      <c r="K126" s="213"/>
      <c r="L126" s="213"/>
      <c r="M126" s="213"/>
      <c r="N126" s="169" t="s">
        <v>477</v>
      </c>
    </row>
    <row r="127" spans="1:15" ht="27" thickBot="1" x14ac:dyDescent="0.35">
      <c r="A127" s="75"/>
      <c r="B127" s="76"/>
      <c r="C127" s="77"/>
      <c r="D127" s="51"/>
      <c r="E127" s="51"/>
      <c r="F127" s="51"/>
      <c r="G127" s="76"/>
      <c r="H127" s="76"/>
      <c r="I127" s="76"/>
      <c r="J127" s="78"/>
      <c r="K127" s="76"/>
      <c r="L127" s="78"/>
      <c r="M127" s="48"/>
      <c r="N127" s="169"/>
    </row>
    <row r="128" spans="1:15" ht="27" thickBot="1" x14ac:dyDescent="0.35">
      <c r="A128" s="75"/>
      <c r="B128" s="76" t="s">
        <v>473</v>
      </c>
      <c r="C128" s="77"/>
      <c r="D128" s="51"/>
      <c r="E128" s="51"/>
      <c r="F128" s="51"/>
      <c r="G128" s="76"/>
      <c r="H128" s="76"/>
      <c r="I128" s="76"/>
      <c r="J128" s="78"/>
      <c r="K128" s="76"/>
      <c r="L128" s="78"/>
      <c r="M128" s="48"/>
      <c r="N128" s="170"/>
    </row>
    <row r="129" spans="1:15" ht="26" x14ac:dyDescent="0.3">
      <c r="A129" s="75"/>
      <c r="B129" s="76"/>
      <c r="C129" s="77"/>
      <c r="D129" s="213" t="s">
        <v>482</v>
      </c>
      <c r="E129" s="213"/>
      <c r="F129" s="213"/>
      <c r="G129" s="213"/>
      <c r="H129" s="213"/>
      <c r="I129" s="213"/>
      <c r="J129" s="213"/>
      <c r="K129" s="213"/>
      <c r="L129" s="213"/>
      <c r="M129" s="213"/>
      <c r="N129" s="169" t="s">
        <v>477</v>
      </c>
      <c r="O129" s="75"/>
    </row>
    <row r="130" spans="1:15" ht="26" customHeight="1" thickBot="1" x14ac:dyDescent="0.35">
      <c r="A130" s="75"/>
      <c r="B130" s="76"/>
      <c r="C130" s="77"/>
      <c r="D130" s="51"/>
      <c r="E130" s="51"/>
      <c r="F130" s="51"/>
      <c r="G130" s="76"/>
      <c r="H130" s="76"/>
      <c r="I130" s="76"/>
      <c r="J130" s="78"/>
      <c r="K130" s="76"/>
      <c r="L130" s="78"/>
      <c r="M130" s="48"/>
      <c r="N130" s="169"/>
      <c r="O130" s="75"/>
    </row>
    <row r="131" spans="1:15" ht="27" thickBot="1" x14ac:dyDescent="0.35">
      <c r="A131" s="75"/>
      <c r="B131" s="76" t="s">
        <v>474</v>
      </c>
      <c r="C131" s="77"/>
      <c r="D131" s="51"/>
      <c r="E131" s="51"/>
      <c r="F131" s="51"/>
      <c r="G131" s="76"/>
      <c r="H131" s="76"/>
      <c r="I131" s="76"/>
      <c r="J131" s="78"/>
      <c r="K131" s="76"/>
      <c r="L131" s="78"/>
      <c r="M131" s="48"/>
      <c r="N131" s="170"/>
      <c r="O131" s="75"/>
    </row>
    <row r="132" spans="1:15" ht="26" x14ac:dyDescent="0.3">
      <c r="A132" s="75"/>
      <c r="B132" s="76"/>
      <c r="C132" s="77"/>
      <c r="D132" s="213" t="s">
        <v>475</v>
      </c>
      <c r="E132" s="213"/>
      <c r="F132" s="213"/>
      <c r="G132" s="213"/>
      <c r="H132" s="213"/>
      <c r="I132" s="213"/>
      <c r="J132" s="213"/>
      <c r="K132" s="213"/>
      <c r="L132" s="213"/>
      <c r="M132" s="213"/>
      <c r="N132" s="169" t="s">
        <v>477</v>
      </c>
      <c r="O132" s="75"/>
    </row>
    <row r="133" spans="1:15" ht="26" x14ac:dyDescent="0.3">
      <c r="A133" s="75"/>
      <c r="B133" s="76"/>
      <c r="C133" s="77"/>
      <c r="D133" s="265" t="s">
        <v>476</v>
      </c>
      <c r="E133" s="265"/>
      <c r="F133" s="265"/>
      <c r="G133" s="265"/>
      <c r="H133" s="265"/>
      <c r="I133" s="265"/>
      <c r="J133" s="265"/>
      <c r="K133" s="265"/>
      <c r="L133" s="265"/>
      <c r="M133" s="265"/>
      <c r="N133" s="48"/>
      <c r="O133" s="75"/>
    </row>
    <row r="134" spans="1:15" ht="26" customHeight="1" x14ac:dyDescent="0.3">
      <c r="A134" s="75"/>
      <c r="B134" s="76"/>
      <c r="C134" s="77"/>
      <c r="D134" s="265" t="s">
        <v>478</v>
      </c>
      <c r="E134" s="265"/>
      <c r="F134" s="265"/>
      <c r="G134" s="265"/>
      <c r="H134" s="265"/>
      <c r="I134" s="265"/>
      <c r="J134" s="265"/>
      <c r="K134" s="265"/>
      <c r="L134" s="265"/>
      <c r="M134" s="265"/>
      <c r="N134" s="48"/>
      <c r="O134" s="75"/>
    </row>
    <row r="135" spans="1:15" ht="26" x14ac:dyDescent="0.3">
      <c r="A135" s="75"/>
      <c r="B135" s="76"/>
      <c r="C135" s="77"/>
      <c r="D135" s="51"/>
      <c r="E135" s="51"/>
      <c r="F135" s="51"/>
      <c r="G135" s="76"/>
      <c r="H135" s="76"/>
      <c r="I135" s="76"/>
      <c r="J135" s="78"/>
      <c r="K135" s="76"/>
      <c r="L135" s="78"/>
      <c r="M135" s="48"/>
      <c r="N135" s="48"/>
      <c r="O135" s="75"/>
    </row>
    <row r="136" spans="1:15" ht="26" x14ac:dyDescent="0.3">
      <c r="A136" s="75"/>
      <c r="B136" s="76"/>
      <c r="C136" s="77"/>
      <c r="D136" s="51"/>
      <c r="E136" s="51"/>
      <c r="F136" s="51"/>
      <c r="G136" s="76"/>
      <c r="H136" s="76"/>
      <c r="I136" s="76"/>
      <c r="J136" s="78"/>
      <c r="K136" s="76"/>
      <c r="L136" s="78"/>
      <c r="M136" s="48"/>
      <c r="N136" s="48"/>
      <c r="O136" s="75"/>
    </row>
    <row r="137" spans="1:15" ht="26" x14ac:dyDescent="0.3">
      <c r="A137" s="75"/>
      <c r="B137" s="76"/>
      <c r="C137" s="77"/>
      <c r="D137" s="51"/>
      <c r="E137" s="51"/>
      <c r="F137" s="51"/>
      <c r="G137" s="76"/>
      <c r="H137" s="76"/>
      <c r="I137" s="76"/>
      <c r="J137" s="78"/>
      <c r="K137" s="76"/>
      <c r="L137" s="78"/>
      <c r="M137" s="48"/>
      <c r="N137" s="48"/>
    </row>
    <row r="138" spans="1:15" ht="26" x14ac:dyDescent="0.3">
      <c r="A138" s="75"/>
      <c r="B138" s="76"/>
      <c r="C138" s="77"/>
      <c r="D138" s="51"/>
      <c r="E138" s="51"/>
      <c r="F138" s="51"/>
      <c r="G138" s="76"/>
      <c r="H138" s="76"/>
      <c r="I138" s="76"/>
      <c r="J138" s="78"/>
      <c r="K138" s="76"/>
      <c r="L138" s="78"/>
      <c r="M138" s="48"/>
      <c r="N138" s="48"/>
    </row>
    <row r="139" spans="1:15" ht="26" x14ac:dyDescent="0.3">
      <c r="A139" s="75"/>
      <c r="B139" s="76"/>
      <c r="C139" s="77"/>
      <c r="D139" s="51"/>
      <c r="E139" s="51"/>
      <c r="F139" s="51"/>
      <c r="G139" s="76"/>
      <c r="H139" s="76"/>
      <c r="I139" s="76"/>
      <c r="J139" s="78"/>
      <c r="K139" s="76"/>
      <c r="L139" s="78"/>
      <c r="M139" s="48"/>
      <c r="N139" s="48"/>
    </row>
    <row r="140" spans="1:15" ht="26" customHeight="1" x14ac:dyDescent="0.3">
      <c r="A140" s="75"/>
      <c r="B140" s="76"/>
      <c r="C140" s="77"/>
      <c r="D140" s="51"/>
      <c r="E140" s="51"/>
      <c r="F140" s="51"/>
      <c r="G140" s="76"/>
      <c r="H140" s="76"/>
      <c r="I140" s="76"/>
      <c r="J140" s="78"/>
      <c r="K140" s="76"/>
      <c r="L140" s="78"/>
      <c r="M140" s="48"/>
      <c r="N140" s="48"/>
    </row>
    <row r="141" spans="1:15" ht="26" x14ac:dyDescent="0.3">
      <c r="A141" s="75"/>
      <c r="B141" s="49" t="s">
        <v>330</v>
      </c>
      <c r="C141" s="79"/>
      <c r="D141" s="51"/>
      <c r="E141" s="51"/>
      <c r="F141" s="51"/>
      <c r="G141" s="76"/>
      <c r="H141" s="76"/>
      <c r="I141" s="76"/>
      <c r="J141" s="78"/>
      <c r="K141" s="76"/>
      <c r="L141" s="78"/>
      <c r="M141" s="48"/>
      <c r="N141" s="78"/>
    </row>
    <row r="142" spans="1:15" ht="26" x14ac:dyDescent="0.3">
      <c r="A142" s="75"/>
      <c r="B142" s="211" t="s">
        <v>361</v>
      </c>
      <c r="C142" s="211"/>
      <c r="D142" s="211"/>
      <c r="E142" s="211"/>
      <c r="F142" s="211"/>
      <c r="G142" s="211"/>
      <c r="H142" s="211"/>
      <c r="I142" s="211"/>
      <c r="J142" s="211"/>
      <c r="K142" s="211"/>
      <c r="L142" s="211"/>
      <c r="M142" s="211"/>
      <c r="N142" s="211"/>
    </row>
    <row r="143" spans="1:15" ht="26" customHeight="1" x14ac:dyDescent="0.3">
      <c r="A143" s="75"/>
      <c r="B143" s="76"/>
      <c r="C143" s="214"/>
      <c r="D143" s="214"/>
      <c r="E143" s="214"/>
      <c r="F143" s="214"/>
      <c r="G143" s="214"/>
      <c r="H143" s="214"/>
      <c r="I143" s="214"/>
      <c r="J143" s="214"/>
      <c r="K143" s="214"/>
      <c r="L143" s="214"/>
      <c r="M143" s="78"/>
      <c r="N143" s="78"/>
    </row>
    <row r="144" spans="1:15" ht="26" customHeight="1" x14ac:dyDescent="0.3">
      <c r="A144" s="75"/>
      <c r="B144" s="49" t="s">
        <v>331</v>
      </c>
      <c r="C144" s="79"/>
      <c r="D144" s="77"/>
      <c r="E144" s="77"/>
      <c r="F144" s="77"/>
      <c r="G144" s="77"/>
      <c r="H144" s="77"/>
      <c r="I144" s="77"/>
      <c r="J144" s="78"/>
      <c r="K144" s="76"/>
      <c r="L144" s="78"/>
      <c r="M144" s="78"/>
      <c r="N144" s="78"/>
    </row>
    <row r="145" spans="1:14" ht="26" x14ac:dyDescent="0.3">
      <c r="A145" s="75"/>
      <c r="B145" s="211" t="s">
        <v>461</v>
      </c>
      <c r="C145" s="211"/>
      <c r="D145" s="211"/>
      <c r="E145" s="211"/>
      <c r="F145" s="211"/>
      <c r="G145" s="211"/>
      <c r="H145" s="211"/>
      <c r="I145" s="211"/>
      <c r="J145" s="211"/>
      <c r="K145" s="211"/>
      <c r="L145" s="211"/>
      <c r="M145" s="211"/>
      <c r="N145" s="211"/>
    </row>
    <row r="146" spans="1:14" ht="26" customHeight="1" x14ac:dyDescent="0.3">
      <c r="A146" s="75"/>
      <c r="B146" s="211" t="s">
        <v>362</v>
      </c>
      <c r="C146" s="211"/>
      <c r="D146" s="211"/>
      <c r="E146" s="211"/>
      <c r="F146" s="211"/>
      <c r="G146" s="211"/>
      <c r="H146" s="211"/>
      <c r="I146" s="211"/>
      <c r="J146" s="211"/>
      <c r="K146" s="211"/>
      <c r="L146" s="211"/>
      <c r="M146" s="211"/>
      <c r="N146" s="211"/>
    </row>
    <row r="147" spans="1:14" ht="26" x14ac:dyDescent="0.3">
      <c r="A147" s="75"/>
      <c r="B147" s="76"/>
      <c r="C147" s="77"/>
      <c r="D147" s="77"/>
      <c r="E147" s="77"/>
      <c r="F147" s="77"/>
      <c r="G147" s="77"/>
      <c r="H147" s="77"/>
      <c r="I147" s="77"/>
      <c r="J147" s="78"/>
      <c r="K147" s="76"/>
      <c r="L147" s="78"/>
      <c r="M147" s="78"/>
      <c r="N147" s="78"/>
    </row>
    <row r="148" spans="1:14" ht="26" x14ac:dyDescent="0.3">
      <c r="A148" s="75"/>
      <c r="B148" s="211" t="s">
        <v>363</v>
      </c>
      <c r="C148" s="211"/>
      <c r="D148" s="211"/>
      <c r="E148" s="211"/>
      <c r="F148" s="211"/>
      <c r="G148" s="211"/>
      <c r="H148" s="211"/>
      <c r="I148" s="211"/>
      <c r="J148" s="211"/>
      <c r="K148" s="211"/>
      <c r="L148" s="211"/>
      <c r="M148" s="211"/>
      <c r="N148" s="211"/>
    </row>
    <row r="149" spans="1:14" ht="26" customHeight="1" x14ac:dyDescent="0.3">
      <c r="A149" s="75"/>
      <c r="B149" s="76"/>
      <c r="C149" s="77"/>
      <c r="D149" s="51"/>
      <c r="E149" s="51"/>
      <c r="F149" s="51"/>
      <c r="G149" s="76"/>
      <c r="H149" s="76"/>
      <c r="I149" s="76"/>
      <c r="J149" s="78"/>
      <c r="K149" s="76"/>
      <c r="L149" s="78"/>
      <c r="M149" s="78"/>
      <c r="N149" s="78"/>
    </row>
    <row r="150" spans="1:14" ht="26" customHeight="1" x14ac:dyDescent="0.3">
      <c r="A150" s="75"/>
      <c r="B150" s="214" t="s">
        <v>359</v>
      </c>
      <c r="C150" s="214"/>
      <c r="D150" s="214"/>
      <c r="E150" s="214"/>
      <c r="F150" s="214"/>
      <c r="G150" s="214"/>
      <c r="H150" s="214"/>
      <c r="I150" s="214"/>
      <c r="J150" s="214"/>
      <c r="K150" s="214"/>
      <c r="L150" s="214"/>
      <c r="M150" s="78"/>
      <c r="N150" s="78"/>
    </row>
    <row r="151" spans="1:14" ht="26" x14ac:dyDescent="0.3">
      <c r="A151" s="75"/>
      <c r="B151" s="211" t="s">
        <v>360</v>
      </c>
      <c r="C151" s="211"/>
      <c r="D151" s="211"/>
      <c r="E151" s="211"/>
      <c r="F151" s="211"/>
      <c r="G151" s="211"/>
      <c r="H151" s="211"/>
      <c r="I151" s="211"/>
      <c r="J151" s="211"/>
      <c r="K151" s="211"/>
      <c r="L151" s="211"/>
      <c r="M151" s="211"/>
      <c r="N151" s="211"/>
    </row>
    <row r="152" spans="1:14" ht="26" customHeight="1" x14ac:dyDescent="0.3">
      <c r="A152" s="75"/>
      <c r="B152" s="253" t="s">
        <v>462</v>
      </c>
      <c r="C152" s="253"/>
      <c r="D152" s="253"/>
      <c r="E152" s="253"/>
      <c r="F152" s="253"/>
      <c r="G152" s="253"/>
      <c r="H152" s="253"/>
      <c r="I152" s="253"/>
      <c r="J152" s="253"/>
      <c r="K152" s="253"/>
      <c r="L152" s="253"/>
      <c r="M152" s="253"/>
      <c r="N152" s="253"/>
    </row>
    <row r="153" spans="1:14" ht="26" x14ac:dyDescent="0.3">
      <c r="A153" s="75"/>
      <c r="B153" s="49" t="s">
        <v>332</v>
      </c>
      <c r="C153" s="79"/>
      <c r="D153" s="77"/>
      <c r="E153" s="77"/>
      <c r="F153" s="77"/>
      <c r="G153" s="77"/>
      <c r="H153" s="77"/>
      <c r="I153" s="77"/>
      <c r="J153" s="77"/>
      <c r="K153" s="77"/>
      <c r="L153" s="77"/>
      <c r="M153" s="78"/>
      <c r="N153" s="78"/>
    </row>
    <row r="154" spans="1:14" ht="26" x14ac:dyDescent="0.3">
      <c r="A154" s="75"/>
      <c r="B154" s="211" t="s">
        <v>463</v>
      </c>
      <c r="C154" s="211"/>
      <c r="D154" s="211"/>
      <c r="E154" s="211"/>
      <c r="F154" s="211"/>
      <c r="G154" s="211"/>
      <c r="H154" s="211"/>
      <c r="I154" s="211"/>
      <c r="J154" s="211"/>
      <c r="K154" s="211"/>
      <c r="L154" s="211"/>
      <c r="M154" s="211"/>
      <c r="N154" s="211"/>
    </row>
    <row r="155" spans="1:14" ht="26" x14ac:dyDescent="0.3">
      <c r="A155" s="75"/>
      <c r="B155" s="76"/>
      <c r="C155" s="214"/>
      <c r="D155" s="214"/>
      <c r="E155" s="214"/>
      <c r="F155" s="214"/>
      <c r="G155" s="214"/>
      <c r="H155" s="214"/>
      <c r="I155" s="214"/>
      <c r="J155" s="214"/>
      <c r="K155" s="214"/>
      <c r="L155" s="214"/>
      <c r="M155" s="78"/>
      <c r="N155" s="78"/>
    </row>
    <row r="156" spans="1:14" ht="24" customHeight="1" x14ac:dyDescent="0.3">
      <c r="A156" s="53"/>
      <c r="B156" s="57" t="s">
        <v>345</v>
      </c>
      <c r="C156" s="57"/>
      <c r="D156" s="58"/>
      <c r="E156" s="58"/>
      <c r="F156" s="58"/>
      <c r="G156" s="52"/>
      <c r="H156" s="52"/>
      <c r="I156" s="52"/>
      <c r="J156" s="54"/>
      <c r="K156" s="52"/>
      <c r="L156" s="54"/>
      <c r="M156" s="54"/>
      <c r="N156" s="54"/>
    </row>
    <row r="157" spans="1:14" ht="24" customHeight="1" x14ac:dyDescent="0.3">
      <c r="A157" s="53"/>
      <c r="B157" s="52"/>
      <c r="C157" s="250"/>
      <c r="D157" s="250"/>
      <c r="E157" s="250"/>
      <c r="F157" s="250"/>
      <c r="G157" s="250"/>
      <c r="H157" s="250"/>
      <c r="I157" s="250"/>
      <c r="J157" s="250"/>
      <c r="K157" s="250"/>
      <c r="L157" s="250"/>
      <c r="M157" s="250"/>
      <c r="N157" s="250"/>
    </row>
    <row r="158" spans="1:14" ht="98" customHeight="1" x14ac:dyDescent="0.3">
      <c r="A158" s="59"/>
      <c r="B158" s="251" t="s">
        <v>346</v>
      </c>
      <c r="C158" s="251"/>
      <c r="D158" s="251"/>
      <c r="E158" s="251"/>
      <c r="F158" s="251"/>
      <c r="G158" s="251"/>
      <c r="H158" s="251"/>
      <c r="I158" s="251"/>
      <c r="J158" s="251"/>
      <c r="K158" s="251"/>
      <c r="L158" s="251"/>
      <c r="M158" s="251"/>
      <c r="N158" s="251"/>
    </row>
    <row r="159" spans="1:14" ht="131" customHeight="1" x14ac:dyDescent="0.3">
      <c r="A159" s="59"/>
      <c r="B159" s="252" t="s">
        <v>347</v>
      </c>
      <c r="C159" s="252"/>
      <c r="D159" s="252"/>
      <c r="E159" s="252"/>
      <c r="F159" s="252"/>
      <c r="G159" s="252"/>
      <c r="H159" s="252"/>
      <c r="I159" s="252"/>
      <c r="J159" s="252"/>
      <c r="K159" s="252"/>
      <c r="L159" s="252"/>
      <c r="M159" s="252"/>
      <c r="N159" s="252"/>
    </row>
    <row r="160" spans="1:14" ht="123" customHeight="1" x14ac:dyDescent="0.3">
      <c r="A160" s="59"/>
      <c r="B160" s="56"/>
      <c r="C160" s="60" t="s">
        <v>35</v>
      </c>
      <c r="D160" s="257" t="s">
        <v>348</v>
      </c>
      <c r="E160" s="257"/>
      <c r="F160" s="257"/>
      <c r="G160" s="257"/>
      <c r="H160" s="257"/>
      <c r="I160" s="257"/>
      <c r="J160" s="257"/>
      <c r="K160" s="257"/>
      <c r="L160" s="257"/>
      <c r="M160" s="257"/>
      <c r="N160" s="64"/>
    </row>
    <row r="161" spans="1:14" ht="176" customHeight="1" x14ac:dyDescent="0.3">
      <c r="A161" s="59"/>
      <c r="B161" s="56"/>
      <c r="C161" s="60" t="s">
        <v>36</v>
      </c>
      <c r="D161" s="257" t="s">
        <v>349</v>
      </c>
      <c r="E161" s="257"/>
      <c r="F161" s="257"/>
      <c r="G161" s="257"/>
      <c r="H161" s="257"/>
      <c r="I161" s="257"/>
      <c r="J161" s="257"/>
      <c r="K161" s="257"/>
      <c r="L161" s="257"/>
      <c r="M161" s="257"/>
      <c r="N161" s="64"/>
    </row>
    <row r="162" spans="1:14" ht="176" customHeight="1" x14ac:dyDescent="0.3">
      <c r="A162" s="59"/>
      <c r="B162" s="56"/>
      <c r="C162" s="60" t="s">
        <v>37</v>
      </c>
      <c r="D162" s="257" t="s">
        <v>38</v>
      </c>
      <c r="E162" s="257"/>
      <c r="F162" s="257"/>
      <c r="G162" s="257"/>
      <c r="H162" s="257"/>
      <c r="I162" s="257"/>
      <c r="J162" s="257"/>
      <c r="K162" s="257"/>
      <c r="L162" s="257"/>
      <c r="M162" s="257"/>
      <c r="N162" s="62"/>
    </row>
    <row r="163" spans="1:14" ht="176" customHeight="1" x14ac:dyDescent="0.3">
      <c r="A163" s="59"/>
      <c r="B163" s="56"/>
      <c r="C163" s="60" t="s">
        <v>39</v>
      </c>
      <c r="D163" s="257" t="s">
        <v>350</v>
      </c>
      <c r="E163" s="257"/>
      <c r="F163" s="257"/>
      <c r="G163" s="257"/>
      <c r="H163" s="257"/>
      <c r="I163" s="257"/>
      <c r="J163" s="257"/>
      <c r="K163" s="257"/>
      <c r="L163" s="257"/>
      <c r="M163" s="257"/>
      <c r="N163" s="64"/>
    </row>
    <row r="164" spans="1:14" ht="24" customHeight="1" x14ac:dyDescent="0.3">
      <c r="A164" s="59"/>
      <c r="B164" s="56"/>
      <c r="C164" s="60" t="s">
        <v>51</v>
      </c>
      <c r="D164" s="257" t="s">
        <v>351</v>
      </c>
      <c r="E164" s="257"/>
      <c r="F164" s="257"/>
      <c r="G164" s="257"/>
      <c r="H164" s="257"/>
      <c r="I164" s="257"/>
      <c r="J164" s="257"/>
      <c r="K164" s="257"/>
      <c r="L164" s="257"/>
      <c r="M164" s="257"/>
      <c r="N164" s="64"/>
    </row>
    <row r="165" spans="1:14" ht="409.25" customHeight="1" x14ac:dyDescent="0.3">
      <c r="A165" s="59"/>
      <c r="B165" s="56"/>
      <c r="C165" s="60" t="s">
        <v>465</v>
      </c>
      <c r="D165" s="257" t="s">
        <v>497</v>
      </c>
      <c r="E165" s="257"/>
      <c r="F165" s="257"/>
      <c r="G165" s="257"/>
      <c r="H165" s="257"/>
      <c r="I165" s="257"/>
      <c r="J165" s="257"/>
      <c r="K165" s="257"/>
      <c r="L165" s="257"/>
      <c r="M165" s="257"/>
      <c r="N165" s="164" t="s">
        <v>464</v>
      </c>
    </row>
    <row r="166" spans="1:14" ht="217.25" customHeight="1" x14ac:dyDescent="0.3">
      <c r="A166" s="53"/>
      <c r="B166" s="219" t="s">
        <v>33</v>
      </c>
      <c r="C166" s="219"/>
      <c r="D166" s="218" t="s">
        <v>40</v>
      </c>
      <c r="E166" s="218"/>
      <c r="F166" s="218"/>
      <c r="G166" s="219"/>
      <c r="H166" s="219"/>
      <c r="I166" s="219"/>
      <c r="J166" s="219"/>
      <c r="K166" s="219"/>
      <c r="L166" s="219"/>
      <c r="M166" s="218"/>
      <c r="N166" s="218"/>
    </row>
    <row r="167" spans="1:14" ht="202.25" customHeight="1" x14ac:dyDescent="0.3">
      <c r="A167" s="53"/>
      <c r="B167" s="52"/>
      <c r="C167" s="63" t="s">
        <v>377</v>
      </c>
      <c r="D167" s="254" t="e">
        <f>VLOOKUP(C167,Table2[#All],2,FALSE)</f>
        <v>#N/A</v>
      </c>
      <c r="E167" s="255"/>
      <c r="F167" s="255"/>
      <c r="G167" s="255"/>
      <c r="H167" s="255"/>
      <c r="I167" s="255"/>
      <c r="J167" s="255"/>
      <c r="K167" s="255"/>
      <c r="L167" s="255"/>
      <c r="M167" s="256"/>
      <c r="N167" s="163" t="s">
        <v>464</v>
      </c>
    </row>
    <row r="168" spans="1:14" ht="173" customHeight="1" x14ac:dyDescent="0.3">
      <c r="A168" s="53"/>
      <c r="B168" s="52"/>
      <c r="C168" s="63" t="s">
        <v>378</v>
      </c>
      <c r="D168" s="254" t="e">
        <f>VLOOKUP(C168,Table2[#All],2,FALSE)</f>
        <v>#N/A</v>
      </c>
      <c r="E168" s="255"/>
      <c r="F168" s="255"/>
      <c r="G168" s="255"/>
      <c r="H168" s="255"/>
      <c r="I168" s="255"/>
      <c r="J168" s="255"/>
      <c r="K168" s="255"/>
      <c r="L168" s="255"/>
      <c r="M168" s="256"/>
      <c r="N168" s="163" t="s">
        <v>464</v>
      </c>
    </row>
    <row r="169" spans="1:14" ht="257" customHeight="1" x14ac:dyDescent="0.3">
      <c r="A169" s="53"/>
      <c r="B169" s="52"/>
      <c r="C169" s="63" t="s">
        <v>17</v>
      </c>
      <c r="D169" s="254" t="str">
        <f>VLOOKUP(C169,Table2[#All],2,FALSE)</f>
        <v>Restorations are placed when decay has started in your tooth.  The decay is removed and the space is then filled with composite filling material.  Your tooth may be tender and sensitive for 1 to 2 weeks after the filling is placed, this is the normal healing period.  Please let us know if the restoration does not settle of if the bite feels like it is slightly out, we can adjust it for you.  Immaculate Oral Hygiene is to be kept inbetween dental visits.  Your fillings are susceptible to the environment in which they are kept.  Please ensure you keep them clean by brushing well, flossing well and keeping a low-sugar diet.  Doing this will increase the longevity of your restorations</v>
      </c>
      <c r="E169" s="255"/>
      <c r="F169" s="255"/>
      <c r="G169" s="255"/>
      <c r="H169" s="255"/>
      <c r="I169" s="255"/>
      <c r="J169" s="255"/>
      <c r="K169" s="255"/>
      <c r="L169" s="255"/>
      <c r="M169" s="256"/>
      <c r="N169" s="163" t="s">
        <v>464</v>
      </c>
    </row>
    <row r="170" spans="1:14" ht="25" x14ac:dyDescent="0.3">
      <c r="A170" s="53"/>
      <c r="B170" s="52"/>
      <c r="C170" s="63" t="s">
        <v>20</v>
      </c>
      <c r="D170" s="254" t="e">
        <f>VLOOKUP(C170,Table2[#All],2,FALSE)</f>
        <v>#N/A</v>
      </c>
      <c r="E170" s="255"/>
      <c r="F170" s="255"/>
      <c r="G170" s="255"/>
      <c r="H170" s="255"/>
      <c r="I170" s="255"/>
      <c r="J170" s="255"/>
      <c r="K170" s="255"/>
      <c r="L170" s="255"/>
      <c r="M170" s="256"/>
      <c r="N170" s="163" t="s">
        <v>464</v>
      </c>
    </row>
    <row r="171" spans="1:14" ht="25" x14ac:dyDescent="0.3">
      <c r="A171" s="53"/>
      <c r="B171" s="52"/>
      <c r="C171" s="63" t="s">
        <v>367</v>
      </c>
      <c r="D171" s="254" t="e">
        <f>VLOOKUP(C171,Table2[#All],2,FALSE)</f>
        <v>#N/A</v>
      </c>
      <c r="E171" s="255"/>
      <c r="F171" s="255"/>
      <c r="G171" s="255"/>
      <c r="H171" s="255"/>
      <c r="I171" s="255"/>
      <c r="J171" s="255"/>
      <c r="K171" s="255"/>
      <c r="L171" s="255"/>
      <c r="M171" s="256"/>
      <c r="N171" s="163" t="s">
        <v>464</v>
      </c>
    </row>
    <row r="172" spans="1:14" ht="25" x14ac:dyDescent="0.3">
      <c r="A172" s="53"/>
      <c r="B172" s="52"/>
      <c r="C172" s="63" t="s">
        <v>369</v>
      </c>
      <c r="D172" s="254" t="e">
        <f>VLOOKUP(C172,Table2[#All],2,FALSE)</f>
        <v>#N/A</v>
      </c>
      <c r="E172" s="255"/>
      <c r="F172" s="255"/>
      <c r="G172" s="255"/>
      <c r="H172" s="255"/>
      <c r="I172" s="255"/>
      <c r="J172" s="255"/>
      <c r="K172" s="255"/>
      <c r="L172" s="255"/>
      <c r="M172" s="256"/>
      <c r="N172" s="163" t="s">
        <v>464</v>
      </c>
    </row>
    <row r="173" spans="1:14" ht="24" x14ac:dyDescent="0.3">
      <c r="A173" s="53"/>
      <c r="B173" s="52"/>
      <c r="C173" s="60"/>
      <c r="D173" s="64"/>
      <c r="E173" s="64"/>
      <c r="F173" s="64"/>
      <c r="G173" s="60"/>
      <c r="H173" s="60"/>
      <c r="I173" s="60"/>
      <c r="J173" s="60"/>
      <c r="K173" s="60"/>
      <c r="L173" s="65"/>
      <c r="M173" s="66"/>
      <c r="N173" s="67"/>
    </row>
    <row r="174" spans="1:14" ht="26" x14ac:dyDescent="0.3">
      <c r="A174" s="75"/>
      <c r="B174" s="76"/>
      <c r="C174" s="77"/>
      <c r="D174" s="77"/>
      <c r="E174" s="77"/>
      <c r="F174" s="77"/>
      <c r="G174" s="77"/>
      <c r="H174" s="77"/>
      <c r="I174" s="77"/>
      <c r="J174" s="77"/>
      <c r="K174" s="77"/>
      <c r="L174" s="77"/>
      <c r="M174" s="78"/>
      <c r="N174" s="78"/>
    </row>
    <row r="175" spans="1:14" ht="26" x14ac:dyDescent="0.3">
      <c r="A175" s="75"/>
      <c r="B175" s="76"/>
      <c r="C175" s="77" t="s">
        <v>333</v>
      </c>
      <c r="D175" s="77" t="s">
        <v>334</v>
      </c>
      <c r="E175" s="77"/>
      <c r="F175" s="77"/>
      <c r="G175" s="77"/>
      <c r="H175" s="77" t="s">
        <v>382</v>
      </c>
      <c r="I175" s="77"/>
      <c r="J175" s="77"/>
      <c r="K175" s="77"/>
      <c r="L175" s="77"/>
      <c r="M175" s="78"/>
      <c r="N175" s="78"/>
    </row>
    <row r="176" spans="1:14" ht="26" x14ac:dyDescent="0.3">
      <c r="A176" s="75"/>
      <c r="B176" s="76"/>
      <c r="C176" s="77"/>
      <c r="D176" s="77"/>
      <c r="E176" s="77"/>
      <c r="F176" s="77"/>
      <c r="G176" s="77"/>
      <c r="H176" s="77"/>
      <c r="I176" s="77"/>
      <c r="J176" s="77"/>
      <c r="K176" s="77"/>
      <c r="L176" s="77"/>
      <c r="M176" s="78"/>
      <c r="N176" s="78"/>
    </row>
    <row r="177" spans="1:14" ht="26" x14ac:dyDescent="0.3">
      <c r="A177" s="75"/>
      <c r="B177" s="76"/>
      <c r="C177" s="77"/>
      <c r="D177" s="77"/>
      <c r="E177" s="77"/>
      <c r="F177" s="77"/>
      <c r="G177" s="77"/>
      <c r="H177" s="77"/>
      <c r="I177" s="77"/>
      <c r="J177" s="77"/>
      <c r="K177" s="77"/>
      <c r="L177" s="77"/>
      <c r="M177" s="78"/>
      <c r="N177" s="78"/>
    </row>
    <row r="178" spans="1:14" ht="26" x14ac:dyDescent="0.3">
      <c r="A178" s="75"/>
      <c r="B178" s="76"/>
      <c r="C178" s="77" t="s">
        <v>383</v>
      </c>
      <c r="D178" s="77"/>
      <c r="E178" s="77"/>
      <c r="F178" s="77"/>
      <c r="G178" s="77"/>
      <c r="H178" s="77"/>
      <c r="I178" s="77"/>
      <c r="J178" s="77"/>
      <c r="K178" s="77"/>
      <c r="L178" s="77"/>
      <c r="M178" s="78"/>
      <c r="N178" s="78"/>
    </row>
    <row r="179" spans="1:14" ht="26" x14ac:dyDescent="0.3">
      <c r="A179" s="75"/>
      <c r="B179" s="76"/>
      <c r="C179" s="77"/>
      <c r="D179" s="77"/>
      <c r="E179" s="77"/>
      <c r="F179" s="77"/>
      <c r="G179" s="77"/>
      <c r="H179" s="77"/>
      <c r="I179" s="77"/>
      <c r="J179" s="77"/>
      <c r="K179" s="77"/>
      <c r="L179" s="77"/>
      <c r="M179" s="78"/>
      <c r="N179" s="78"/>
    </row>
    <row r="180" spans="1:14" ht="26" x14ac:dyDescent="0.3">
      <c r="A180" s="75"/>
      <c r="B180" s="76"/>
      <c r="C180" s="77"/>
      <c r="D180" s="77"/>
      <c r="E180" s="77"/>
      <c r="F180" s="77"/>
      <c r="G180" s="77"/>
      <c r="H180" s="77"/>
      <c r="I180" s="77"/>
      <c r="J180" s="77"/>
      <c r="K180" s="77"/>
      <c r="L180" s="77"/>
      <c r="M180" s="78"/>
      <c r="N180" s="78"/>
    </row>
    <row r="181" spans="1:14" ht="26" x14ac:dyDescent="0.3">
      <c r="A181" s="75"/>
      <c r="B181" s="76"/>
      <c r="C181" s="77" t="s">
        <v>335</v>
      </c>
      <c r="D181" s="77" t="s">
        <v>334</v>
      </c>
      <c r="E181" s="77"/>
      <c r="F181" s="77"/>
      <c r="G181" s="77"/>
      <c r="H181" s="77"/>
      <c r="I181" s="77"/>
      <c r="J181" s="77"/>
      <c r="K181" s="77"/>
      <c r="L181" s="77"/>
      <c r="M181" s="78"/>
      <c r="N181" s="78"/>
    </row>
    <row r="182" spans="1:14" ht="26" x14ac:dyDescent="0.3">
      <c r="A182" s="75"/>
      <c r="B182" s="76"/>
      <c r="C182" s="77"/>
      <c r="D182" s="77"/>
      <c r="E182" s="77"/>
      <c r="F182" s="77"/>
      <c r="G182" s="77"/>
      <c r="H182" s="77"/>
      <c r="I182" s="77"/>
      <c r="J182" s="77"/>
      <c r="K182" s="77"/>
      <c r="L182" s="77"/>
      <c r="M182" s="78"/>
      <c r="N182" s="78"/>
    </row>
    <row r="183" spans="1:14" ht="26" x14ac:dyDescent="0.3">
      <c r="A183" s="75"/>
      <c r="B183" s="76"/>
      <c r="C183" s="77"/>
      <c r="D183" s="77"/>
      <c r="E183" s="77"/>
      <c r="F183" s="77"/>
      <c r="G183" s="77"/>
      <c r="H183" s="77"/>
      <c r="I183" s="77"/>
      <c r="J183" s="77"/>
      <c r="K183" s="77"/>
      <c r="L183" s="77"/>
      <c r="M183" s="78"/>
      <c r="N183" s="78"/>
    </row>
    <row r="184" spans="1:14" ht="26" x14ac:dyDescent="0.3">
      <c r="A184" s="75"/>
      <c r="B184" s="76"/>
      <c r="C184" s="77"/>
      <c r="D184" s="77"/>
      <c r="E184" s="77"/>
      <c r="F184" s="77"/>
      <c r="G184" s="77"/>
      <c r="H184" s="80"/>
      <c r="I184" s="80"/>
      <c r="J184" s="80" t="s">
        <v>338</v>
      </c>
      <c r="K184" s="77"/>
      <c r="L184" s="77"/>
      <c r="M184" s="78"/>
      <c r="N184" s="78"/>
    </row>
    <row r="185" spans="1:14" ht="26" x14ac:dyDescent="0.3">
      <c r="A185" s="75"/>
      <c r="B185" s="76"/>
      <c r="C185" s="77" t="s">
        <v>336</v>
      </c>
      <c r="D185" s="77"/>
      <c r="E185" s="77"/>
      <c r="F185" s="77"/>
      <c r="G185" s="77"/>
      <c r="H185" s="77"/>
      <c r="I185" s="77"/>
      <c r="J185" s="77" t="s">
        <v>339</v>
      </c>
      <c r="K185" s="77" t="s">
        <v>393</v>
      </c>
      <c r="L185" s="77"/>
      <c r="M185" s="78"/>
      <c r="N185" s="78"/>
    </row>
    <row r="186" spans="1:14" ht="26" x14ac:dyDescent="0.3">
      <c r="A186" s="75"/>
      <c r="B186" s="76"/>
      <c r="C186" s="77"/>
      <c r="D186" s="77"/>
      <c r="E186" s="77"/>
      <c r="F186" s="77"/>
      <c r="G186" s="77"/>
      <c r="H186" s="77"/>
      <c r="I186" s="77"/>
      <c r="J186" s="77" t="s">
        <v>340</v>
      </c>
      <c r="K186" s="77">
        <v>255655</v>
      </c>
      <c r="L186" s="77"/>
      <c r="M186" s="78"/>
      <c r="N186" s="78"/>
    </row>
    <row r="187" spans="1:14" ht="26" x14ac:dyDescent="0.3">
      <c r="A187" s="75"/>
      <c r="B187" s="76"/>
      <c r="C187" s="77"/>
      <c r="D187" s="77"/>
      <c r="E187" s="77"/>
      <c r="F187" s="77"/>
      <c r="G187" s="77"/>
      <c r="H187" s="77"/>
      <c r="I187" s="77"/>
      <c r="J187" s="96" t="s">
        <v>341</v>
      </c>
      <c r="K187" s="77" t="s">
        <v>394</v>
      </c>
      <c r="L187" s="77"/>
      <c r="M187" s="78"/>
      <c r="N187" s="78"/>
    </row>
    <row r="188" spans="1:14" ht="26" x14ac:dyDescent="0.3">
      <c r="A188" s="75"/>
      <c r="B188" s="76"/>
      <c r="C188" s="77"/>
      <c r="D188" s="77"/>
      <c r="E188" s="77"/>
      <c r="F188" s="77"/>
      <c r="G188" s="77"/>
      <c r="H188" s="77"/>
      <c r="I188" s="77"/>
      <c r="J188" s="77" t="s">
        <v>342</v>
      </c>
      <c r="K188" s="214">
        <v>62695604176</v>
      </c>
      <c r="L188" s="214"/>
      <c r="M188" s="214"/>
      <c r="N188" s="78"/>
    </row>
    <row r="189" spans="1:14" ht="26" x14ac:dyDescent="0.3">
      <c r="A189" s="75"/>
      <c r="B189" s="76"/>
      <c r="C189" s="216"/>
      <c r="D189" s="216"/>
      <c r="E189" s="216"/>
      <c r="F189" s="77"/>
      <c r="G189" s="77"/>
      <c r="H189" s="77"/>
      <c r="I189" s="77"/>
      <c r="J189" s="77" t="s">
        <v>343</v>
      </c>
      <c r="K189" s="77" t="s">
        <v>344</v>
      </c>
      <c r="L189" s="77"/>
      <c r="M189" s="78"/>
      <c r="N189" s="78"/>
    </row>
    <row r="190" spans="1:14" ht="45" x14ac:dyDescent="0.8">
      <c r="A190" s="75"/>
      <c r="B190" s="76"/>
      <c r="C190" s="220" t="s">
        <v>384</v>
      </c>
      <c r="D190" s="220"/>
      <c r="E190" s="220"/>
      <c r="F190" s="77"/>
      <c r="G190" s="77"/>
      <c r="H190" s="77"/>
      <c r="I190" s="77"/>
      <c r="J190" s="77"/>
      <c r="K190" s="77"/>
      <c r="L190" s="77"/>
      <c r="M190" s="78"/>
      <c r="N190" s="78"/>
    </row>
    <row r="191" spans="1:14" ht="26" x14ac:dyDescent="0.3">
      <c r="A191" s="75"/>
      <c r="B191" s="76"/>
      <c r="C191" s="217" t="s">
        <v>337</v>
      </c>
      <c r="D191" s="217"/>
      <c r="E191" s="217"/>
      <c r="F191" s="77"/>
      <c r="G191" s="77"/>
      <c r="H191" s="77"/>
      <c r="I191" s="77"/>
      <c r="J191" s="77"/>
      <c r="K191" s="77"/>
      <c r="L191" s="77"/>
      <c r="M191" s="78"/>
      <c r="N191" s="78"/>
    </row>
  </sheetData>
  <mergeCells count="139">
    <mergeCell ref="B19:N20"/>
    <mergeCell ref="B22:N23"/>
    <mergeCell ref="B25:E25"/>
    <mergeCell ref="F25:K25"/>
    <mergeCell ref="C1:L7"/>
    <mergeCell ref="C10:M10"/>
    <mergeCell ref="C11:M11"/>
    <mergeCell ref="C12:M12"/>
    <mergeCell ref="C13:M13"/>
    <mergeCell ref="C31:D31"/>
    <mergeCell ref="F31:K31"/>
    <mergeCell ref="L31:N31"/>
    <mergeCell ref="C32:D32"/>
    <mergeCell ref="F32:K32"/>
    <mergeCell ref="L32:N32"/>
    <mergeCell ref="B26:N27"/>
    <mergeCell ref="B29:E29"/>
    <mergeCell ref="F29:J29"/>
    <mergeCell ref="L29:N29"/>
    <mergeCell ref="C30:D30"/>
    <mergeCell ref="F30:K30"/>
    <mergeCell ref="L30:N30"/>
    <mergeCell ref="C35:D35"/>
    <mergeCell ref="F35:K35"/>
    <mergeCell ref="L35:N35"/>
    <mergeCell ref="C36:D36"/>
    <mergeCell ref="F36:K36"/>
    <mergeCell ref="L36:N36"/>
    <mergeCell ref="C33:D33"/>
    <mergeCell ref="F33:K33"/>
    <mergeCell ref="L33:N33"/>
    <mergeCell ref="C34:D34"/>
    <mergeCell ref="F34:K34"/>
    <mergeCell ref="L34:N34"/>
    <mergeCell ref="E46:G46"/>
    <mergeCell ref="E47:G47"/>
    <mergeCell ref="E48:G48"/>
    <mergeCell ref="E49:G49"/>
    <mergeCell ref="E50:G50"/>
    <mergeCell ref="E51:G51"/>
    <mergeCell ref="B38:L38"/>
    <mergeCell ref="B40:J40"/>
    <mergeCell ref="L40:N40"/>
    <mergeCell ref="E43:F43"/>
    <mergeCell ref="E44:G44"/>
    <mergeCell ref="E45:G45"/>
    <mergeCell ref="E58:G58"/>
    <mergeCell ref="E59:G59"/>
    <mergeCell ref="E60:G60"/>
    <mergeCell ref="E61:G61"/>
    <mergeCell ref="E62:G62"/>
    <mergeCell ref="E63:G63"/>
    <mergeCell ref="E52:G52"/>
    <mergeCell ref="E53:G53"/>
    <mergeCell ref="E54:G54"/>
    <mergeCell ref="E55:G55"/>
    <mergeCell ref="E56:G56"/>
    <mergeCell ref="E57:G57"/>
    <mergeCell ref="E70:G70"/>
    <mergeCell ref="E71:G71"/>
    <mergeCell ref="E72:G72"/>
    <mergeCell ref="E73:G73"/>
    <mergeCell ref="E74:G74"/>
    <mergeCell ref="E75:G75"/>
    <mergeCell ref="E64:G64"/>
    <mergeCell ref="E65:G65"/>
    <mergeCell ref="E66:G66"/>
    <mergeCell ref="E67:G67"/>
    <mergeCell ref="E68:G68"/>
    <mergeCell ref="E69:G69"/>
    <mergeCell ref="E82:G82"/>
    <mergeCell ref="E83:G83"/>
    <mergeCell ref="E84:G84"/>
    <mergeCell ref="E85:G85"/>
    <mergeCell ref="E86:G86"/>
    <mergeCell ref="E87:G87"/>
    <mergeCell ref="E76:G76"/>
    <mergeCell ref="E77:G77"/>
    <mergeCell ref="E78:G78"/>
    <mergeCell ref="E79:G79"/>
    <mergeCell ref="E80:G80"/>
    <mergeCell ref="E81:G81"/>
    <mergeCell ref="B117:N117"/>
    <mergeCell ref="D126:M126"/>
    <mergeCell ref="E97:G97"/>
    <mergeCell ref="E98:G98"/>
    <mergeCell ref="E99:G99"/>
    <mergeCell ref="E100:G100"/>
    <mergeCell ref="G102:L102"/>
    <mergeCell ref="E88:G88"/>
    <mergeCell ref="E89:G89"/>
    <mergeCell ref="E92:G92"/>
    <mergeCell ref="C95:I95"/>
    <mergeCell ref="E96:G96"/>
    <mergeCell ref="B142:N142"/>
    <mergeCell ref="C143:L143"/>
    <mergeCell ref="B145:N145"/>
    <mergeCell ref="B148:N148"/>
    <mergeCell ref="B150:L150"/>
    <mergeCell ref="B151:N151"/>
    <mergeCell ref="D160:M160"/>
    <mergeCell ref="C93:F93"/>
    <mergeCell ref="G93:L93"/>
    <mergeCell ref="C94:M94"/>
    <mergeCell ref="D105:F105"/>
    <mergeCell ref="G105:L105"/>
    <mergeCell ref="B115:L115"/>
    <mergeCell ref="B119:N119"/>
    <mergeCell ref="B121:N121"/>
    <mergeCell ref="B152:N152"/>
    <mergeCell ref="B154:N154"/>
    <mergeCell ref="C155:L155"/>
    <mergeCell ref="C157:N157"/>
    <mergeCell ref="B146:N146"/>
    <mergeCell ref="D129:M129"/>
    <mergeCell ref="D132:M132"/>
    <mergeCell ref="D133:M133"/>
    <mergeCell ref="D134:M134"/>
    <mergeCell ref="C190:E190"/>
    <mergeCell ref="C191:E191"/>
    <mergeCell ref="B158:N158"/>
    <mergeCell ref="B159:N159"/>
    <mergeCell ref="D164:M164"/>
    <mergeCell ref="B166:C166"/>
    <mergeCell ref="D166:F166"/>
    <mergeCell ref="G166:L166"/>
    <mergeCell ref="M166:N166"/>
    <mergeCell ref="C189:E189"/>
    <mergeCell ref="D162:M162"/>
    <mergeCell ref="D163:M163"/>
    <mergeCell ref="D171:M171"/>
    <mergeCell ref="D172:M172"/>
    <mergeCell ref="K188:M188"/>
    <mergeCell ref="D165:M165"/>
    <mergeCell ref="D167:M167"/>
    <mergeCell ref="D168:M168"/>
    <mergeCell ref="D169:M169"/>
    <mergeCell ref="D170:M170"/>
    <mergeCell ref="D161:M161"/>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F3A68A6F-B5C1-D743-AA07-1A422CA88FBD}">
          <x14:formula1>
            <xm:f>'Lookup Items'!$B$348:$B$383</xm:f>
          </x14:formula1>
          <xm:sqref>C167:C173</xm:sqref>
        </x14:dataValidation>
        <x14:dataValidation type="list" allowBlank="1" showInputMessage="1" showErrorMessage="1" xr:uid="{B2D7BB7E-2AAF-0F4D-B25F-26AE69FF7E53}">
          <x14:formula1>
            <xm:f>'Lookup Items'!$B$3:$B$341</xm:f>
          </x14:formula1>
          <xm:sqref>D96:D100 D44:D92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82A02-3519-DC46-AB67-E2208A1FDB4F}">
  <dimension ref="A1:R387"/>
  <sheetViews>
    <sheetView topLeftCell="B71" zoomScale="112" zoomScaleNormal="112" workbookViewId="0">
      <selection activeCell="B356" sqref="A356:XFD383"/>
    </sheetView>
  </sheetViews>
  <sheetFormatPr baseColWidth="10" defaultColWidth="10.6640625" defaultRowHeight="16" x14ac:dyDescent="0.2"/>
  <cols>
    <col min="1" max="1" width="0" hidden="1" customWidth="1"/>
    <col min="2" max="2" width="12.1640625" customWidth="1"/>
    <col min="3" max="3" width="48.6640625" customWidth="1"/>
    <col min="4" max="4" width="14.1640625" customWidth="1"/>
    <col min="5" max="5" width="13.6640625" customWidth="1"/>
    <col min="8" max="10" width="0" hidden="1" customWidth="1"/>
    <col min="11" max="11" width="0" style="88" hidden="1" customWidth="1"/>
    <col min="12" max="16" width="0" hidden="1" customWidth="1"/>
  </cols>
  <sheetData>
    <row r="1" spans="1:18" x14ac:dyDescent="0.2">
      <c r="A1" t="s">
        <v>3</v>
      </c>
    </row>
    <row r="3" spans="1:18" x14ac:dyDescent="0.2">
      <c r="B3" t="s">
        <v>0</v>
      </c>
      <c r="C3" t="s">
        <v>30</v>
      </c>
      <c r="D3" t="s">
        <v>31</v>
      </c>
      <c r="E3" t="s">
        <v>2</v>
      </c>
      <c r="F3" t="s">
        <v>10</v>
      </c>
      <c r="G3" t="s">
        <v>11</v>
      </c>
    </row>
    <row r="4" spans="1:18" x14ac:dyDescent="0.2">
      <c r="B4" s="11" t="s">
        <v>443</v>
      </c>
      <c r="C4" s="10" t="s">
        <v>435</v>
      </c>
      <c r="D4" s="13" t="s">
        <v>310</v>
      </c>
      <c r="E4" s="201">
        <v>352</v>
      </c>
      <c r="I4" s="2"/>
      <c r="Q4" s="2"/>
      <c r="R4" s="2"/>
    </row>
    <row r="5" spans="1:18" x14ac:dyDescent="0.2">
      <c r="B5" s="209" t="s">
        <v>452</v>
      </c>
      <c r="C5" s="206" t="s">
        <v>426</v>
      </c>
      <c r="D5" s="207" t="s">
        <v>310</v>
      </c>
      <c r="E5" s="210">
        <v>1033</v>
      </c>
      <c r="G5" s="2"/>
      <c r="Q5" s="2"/>
      <c r="R5" s="2"/>
    </row>
    <row r="6" spans="1:18" x14ac:dyDescent="0.2">
      <c r="B6" s="11" t="s">
        <v>446</v>
      </c>
      <c r="C6" s="10" t="s">
        <v>447</v>
      </c>
      <c r="D6" s="13" t="s">
        <v>310</v>
      </c>
      <c r="E6" s="202">
        <v>1147</v>
      </c>
      <c r="G6" s="2"/>
      <c r="Q6" s="2"/>
      <c r="R6" s="2"/>
    </row>
    <row r="7" spans="1:18" x14ac:dyDescent="0.2">
      <c r="B7" s="11" t="s">
        <v>429</v>
      </c>
      <c r="C7" s="10" t="s">
        <v>427</v>
      </c>
      <c r="D7" s="13" t="s">
        <v>310</v>
      </c>
      <c r="E7" s="201">
        <v>861</v>
      </c>
      <c r="G7" s="2"/>
      <c r="Q7" s="2"/>
      <c r="R7" s="2"/>
    </row>
    <row r="8" spans="1:18" x14ac:dyDescent="0.2">
      <c r="B8" s="11" t="s">
        <v>430</v>
      </c>
      <c r="C8" s="10" t="s">
        <v>428</v>
      </c>
      <c r="D8" s="13" t="s">
        <v>310</v>
      </c>
      <c r="E8" s="90">
        <v>0</v>
      </c>
      <c r="G8" s="2"/>
      <c r="Q8" s="2"/>
      <c r="R8" s="2"/>
    </row>
    <row r="9" spans="1:18" x14ac:dyDescent="0.2">
      <c r="B9" s="11" t="s">
        <v>448</v>
      </c>
      <c r="C9" s="10" t="s">
        <v>398</v>
      </c>
      <c r="D9" s="13" t="s">
        <v>310</v>
      </c>
      <c r="E9" s="90">
        <v>1211</v>
      </c>
      <c r="G9" s="2"/>
      <c r="Q9" s="2"/>
      <c r="R9" s="2"/>
    </row>
    <row r="10" spans="1:18" x14ac:dyDescent="0.2">
      <c r="B10" s="11" t="s">
        <v>431</v>
      </c>
      <c r="C10" s="10" t="s">
        <v>432</v>
      </c>
      <c r="D10" s="13" t="s">
        <v>310</v>
      </c>
      <c r="E10" s="90">
        <v>0</v>
      </c>
      <c r="Q10" s="2"/>
      <c r="R10" s="2"/>
    </row>
    <row r="11" spans="1:18" x14ac:dyDescent="0.2">
      <c r="B11" s="11" t="s">
        <v>437</v>
      </c>
      <c r="C11" s="10" t="s">
        <v>438</v>
      </c>
      <c r="D11" s="13" t="s">
        <v>310</v>
      </c>
      <c r="E11" s="90">
        <v>0</v>
      </c>
      <c r="Q11" s="2"/>
      <c r="R11" s="2"/>
    </row>
    <row r="12" spans="1:18" x14ac:dyDescent="0.2">
      <c r="B12" s="11" t="s">
        <v>595</v>
      </c>
      <c r="C12" s="10" t="s">
        <v>596</v>
      </c>
      <c r="D12" s="13" t="s">
        <v>310</v>
      </c>
      <c r="E12" s="90">
        <v>0</v>
      </c>
      <c r="Q12" s="2"/>
      <c r="R12" s="2"/>
    </row>
    <row r="13" spans="1:18" x14ac:dyDescent="0.2">
      <c r="B13" s="11" t="s">
        <v>433</v>
      </c>
      <c r="C13" s="10" t="s">
        <v>434</v>
      </c>
      <c r="D13" s="13" t="s">
        <v>310</v>
      </c>
      <c r="E13" s="90">
        <v>0</v>
      </c>
      <c r="G13" s="2"/>
      <c r="Q13" s="2"/>
      <c r="R13" s="2"/>
    </row>
    <row r="14" spans="1:18" x14ac:dyDescent="0.2">
      <c r="B14" s="11" t="s">
        <v>441</v>
      </c>
      <c r="C14" s="10" t="s">
        <v>442</v>
      </c>
      <c r="D14" s="13" t="s">
        <v>310</v>
      </c>
      <c r="E14" s="90">
        <v>0</v>
      </c>
      <c r="G14" s="2"/>
      <c r="Q14" s="2"/>
      <c r="R14" s="2"/>
    </row>
    <row r="15" spans="1:18" x14ac:dyDescent="0.2">
      <c r="B15" s="11" t="s">
        <v>444</v>
      </c>
      <c r="C15" s="10" t="s">
        <v>399</v>
      </c>
      <c r="D15" s="13" t="s">
        <v>310</v>
      </c>
      <c r="E15" s="90">
        <v>1084</v>
      </c>
      <c r="G15" s="2"/>
      <c r="Q15" s="2"/>
      <c r="R15" s="2"/>
    </row>
    <row r="16" spans="1:18" x14ac:dyDescent="0.2">
      <c r="B16" s="11" t="s">
        <v>451</v>
      </c>
      <c r="C16" s="10" t="s">
        <v>450</v>
      </c>
      <c r="D16" s="13" t="s">
        <v>310</v>
      </c>
      <c r="E16" s="90">
        <v>1211</v>
      </c>
      <c r="G16" s="2"/>
      <c r="Q16" s="2"/>
      <c r="R16" s="2"/>
    </row>
    <row r="17" spans="2:18" x14ac:dyDescent="0.2">
      <c r="B17" s="11" t="s">
        <v>445</v>
      </c>
      <c r="C17" s="10" t="s">
        <v>436</v>
      </c>
      <c r="D17" s="13" t="s">
        <v>310</v>
      </c>
      <c r="E17" s="90">
        <v>382</v>
      </c>
      <c r="G17" s="2"/>
      <c r="Q17" s="2"/>
      <c r="R17" s="2"/>
    </row>
    <row r="18" spans="2:18" x14ac:dyDescent="0.2">
      <c r="B18" s="11" t="s">
        <v>449</v>
      </c>
      <c r="C18" s="10" t="s">
        <v>423</v>
      </c>
      <c r="D18" s="13" t="s">
        <v>310</v>
      </c>
      <c r="E18" s="99">
        <v>0</v>
      </c>
      <c r="Q18" s="2"/>
      <c r="R18" s="2"/>
    </row>
    <row r="19" spans="2:18" x14ac:dyDescent="0.2">
      <c r="B19" s="11" t="s">
        <v>512</v>
      </c>
      <c r="C19" s="10" t="s">
        <v>513</v>
      </c>
      <c r="D19" s="13"/>
      <c r="E19" s="203">
        <v>1573.25</v>
      </c>
      <c r="Q19" s="2"/>
      <c r="R19" s="2"/>
    </row>
    <row r="20" spans="2:18" x14ac:dyDescent="0.2">
      <c r="B20" s="11" t="s">
        <v>514</v>
      </c>
      <c r="C20" s="10" t="s">
        <v>515</v>
      </c>
      <c r="D20" s="13"/>
      <c r="E20" s="203">
        <v>1358.9625000000001</v>
      </c>
      <c r="Q20" s="2"/>
      <c r="R20" s="2"/>
    </row>
    <row r="21" spans="2:18" x14ac:dyDescent="0.2">
      <c r="B21" s="10">
        <v>8101</v>
      </c>
      <c r="C21" s="10" t="s">
        <v>64</v>
      </c>
      <c r="D21" s="13" t="s">
        <v>311</v>
      </c>
      <c r="E21" s="89">
        <v>992</v>
      </c>
      <c r="F21" s="2"/>
      <c r="G21" s="2"/>
      <c r="I21" s="16">
        <v>540</v>
      </c>
      <c r="J21" s="2">
        <f>I21+(I21*0.1)</f>
        <v>594</v>
      </c>
      <c r="K21" s="88">
        <v>594</v>
      </c>
      <c r="N21" s="89">
        <v>655</v>
      </c>
      <c r="O21" s="88">
        <f>N21+(N21*0.1)</f>
        <v>720.5</v>
      </c>
      <c r="P21" s="88">
        <v>720.5</v>
      </c>
      <c r="Q21" s="2"/>
      <c r="R21" s="2"/>
    </row>
    <row r="22" spans="2:18" x14ac:dyDescent="0.2">
      <c r="B22" s="10">
        <v>8102</v>
      </c>
      <c r="C22" s="10" t="s">
        <v>65</v>
      </c>
      <c r="D22" s="13" t="s">
        <v>311</v>
      </c>
      <c r="E22" s="89">
        <v>1267</v>
      </c>
      <c r="F22" s="2"/>
      <c r="G22" s="2"/>
      <c r="I22" s="81">
        <v>690</v>
      </c>
      <c r="J22" s="2">
        <f t="shared" ref="J22:J99" si="0">I22+(I22*0.1)</f>
        <v>759</v>
      </c>
      <c r="K22" s="88">
        <v>759</v>
      </c>
      <c r="N22" s="97">
        <v>835</v>
      </c>
      <c r="O22" s="88">
        <f t="shared" ref="O22:O90" si="1">N22+(N22*0.1)</f>
        <v>918.5</v>
      </c>
      <c r="P22" s="88">
        <v>918.5</v>
      </c>
      <c r="Q22" s="2"/>
      <c r="R22" s="2"/>
    </row>
    <row r="23" spans="2:18" x14ac:dyDescent="0.2">
      <c r="B23" s="10">
        <v>8104</v>
      </c>
      <c r="C23" s="10" t="s">
        <v>66</v>
      </c>
      <c r="D23" s="13" t="s">
        <v>311</v>
      </c>
      <c r="E23" s="89">
        <v>695</v>
      </c>
      <c r="F23" s="2"/>
      <c r="G23" s="2"/>
      <c r="I23" s="16">
        <v>380</v>
      </c>
      <c r="J23" s="2">
        <f t="shared" si="0"/>
        <v>418</v>
      </c>
      <c r="K23" s="88">
        <v>418</v>
      </c>
      <c r="N23" s="89">
        <v>460</v>
      </c>
      <c r="O23" s="88">
        <f t="shared" si="1"/>
        <v>506</v>
      </c>
      <c r="P23" s="88">
        <v>506</v>
      </c>
      <c r="Q23" s="2"/>
      <c r="R23" s="2"/>
    </row>
    <row r="24" spans="2:18" x14ac:dyDescent="0.2">
      <c r="B24" s="10">
        <v>8107</v>
      </c>
      <c r="C24" s="10" t="s">
        <v>67</v>
      </c>
      <c r="D24" s="13" t="s">
        <v>311</v>
      </c>
      <c r="E24" s="89">
        <v>413</v>
      </c>
      <c r="F24" s="2"/>
      <c r="G24" s="2"/>
      <c r="I24" s="81">
        <v>225</v>
      </c>
      <c r="J24" s="2">
        <f t="shared" si="0"/>
        <v>247.5</v>
      </c>
      <c r="K24" s="88">
        <v>247.5</v>
      </c>
      <c r="N24" s="97">
        <v>275</v>
      </c>
      <c r="O24" s="88">
        <f t="shared" si="1"/>
        <v>302.5</v>
      </c>
      <c r="P24" s="88">
        <v>302.5</v>
      </c>
      <c r="Q24" s="2"/>
      <c r="R24" s="2"/>
    </row>
    <row r="25" spans="2:18" x14ac:dyDescent="0.2">
      <c r="B25" s="10">
        <v>8109</v>
      </c>
      <c r="C25" s="10" t="s">
        <v>68</v>
      </c>
      <c r="D25" s="13" t="s">
        <v>311</v>
      </c>
      <c r="E25" s="89">
        <v>177</v>
      </c>
      <c r="F25" s="2"/>
      <c r="G25" s="2"/>
      <c r="I25" s="16">
        <v>70</v>
      </c>
      <c r="J25" s="2">
        <f t="shared" si="0"/>
        <v>77</v>
      </c>
      <c r="K25" s="88">
        <v>77</v>
      </c>
      <c r="N25" s="89">
        <v>135</v>
      </c>
      <c r="O25" s="88">
        <f t="shared" si="1"/>
        <v>148.5</v>
      </c>
      <c r="P25" s="88"/>
      <c r="Q25" s="2"/>
      <c r="R25" s="2"/>
    </row>
    <row r="26" spans="2:18" x14ac:dyDescent="0.2">
      <c r="B26" s="10" t="s">
        <v>400</v>
      </c>
      <c r="C26" s="10" t="s">
        <v>68</v>
      </c>
      <c r="D26" s="13" t="s">
        <v>311</v>
      </c>
      <c r="E26" s="89">
        <v>159</v>
      </c>
      <c r="F26" s="2"/>
      <c r="G26" s="2"/>
      <c r="I26" s="16"/>
      <c r="J26" s="2"/>
      <c r="N26" s="89"/>
      <c r="O26" s="88"/>
      <c r="P26" s="88"/>
      <c r="Q26" s="2"/>
      <c r="R26" s="2"/>
    </row>
    <row r="27" spans="2:18" x14ac:dyDescent="0.2">
      <c r="B27" s="10" t="s">
        <v>379</v>
      </c>
      <c r="C27" s="10" t="s">
        <v>380</v>
      </c>
      <c r="D27" s="13" t="s">
        <v>311</v>
      </c>
      <c r="E27" s="89">
        <v>325</v>
      </c>
      <c r="F27" s="2"/>
      <c r="G27" s="2"/>
      <c r="I27" s="16"/>
      <c r="J27" s="2"/>
      <c r="N27" s="89">
        <v>230</v>
      </c>
      <c r="O27" s="88">
        <f t="shared" si="1"/>
        <v>253</v>
      </c>
      <c r="P27" s="88"/>
      <c r="Q27" s="2"/>
      <c r="R27" s="2"/>
    </row>
    <row r="28" spans="2:18" x14ac:dyDescent="0.2">
      <c r="B28" s="10">
        <v>8110</v>
      </c>
      <c r="C28" s="10" t="s">
        <v>69</v>
      </c>
      <c r="D28" s="13" t="s">
        <v>311</v>
      </c>
      <c r="E28" s="89">
        <v>172</v>
      </c>
      <c r="F28" s="2"/>
      <c r="G28" s="2"/>
      <c r="I28" s="16"/>
      <c r="J28" s="2"/>
      <c r="N28" s="89"/>
      <c r="O28" s="88"/>
      <c r="P28" s="88"/>
      <c r="Q28" s="2"/>
      <c r="R28" s="2"/>
    </row>
    <row r="29" spans="2:18" x14ac:dyDescent="0.2">
      <c r="B29" s="10" t="s">
        <v>457</v>
      </c>
      <c r="C29" s="10" t="s">
        <v>458</v>
      </c>
      <c r="D29" s="13" t="s">
        <v>311</v>
      </c>
      <c r="E29" s="204">
        <v>644</v>
      </c>
      <c r="F29" s="2"/>
      <c r="G29" s="2"/>
      <c r="I29" s="81">
        <v>105</v>
      </c>
      <c r="J29" s="2">
        <f t="shared" si="0"/>
        <v>115.5</v>
      </c>
      <c r="K29" s="88">
        <v>116</v>
      </c>
      <c r="N29" s="89">
        <v>125</v>
      </c>
      <c r="O29" s="88">
        <f t="shared" si="1"/>
        <v>137.5</v>
      </c>
      <c r="P29" s="88"/>
      <c r="Q29" s="2"/>
      <c r="R29" s="2"/>
    </row>
    <row r="30" spans="2:18" x14ac:dyDescent="0.2">
      <c r="B30" s="11" t="s">
        <v>54</v>
      </c>
      <c r="C30" s="10" t="s">
        <v>70</v>
      </c>
      <c r="D30" s="13" t="s">
        <v>312</v>
      </c>
      <c r="E30" s="89">
        <v>159</v>
      </c>
      <c r="F30" s="2"/>
      <c r="G30" s="2"/>
      <c r="I30" s="16">
        <v>80</v>
      </c>
      <c r="J30" s="2">
        <f t="shared" si="0"/>
        <v>88</v>
      </c>
      <c r="K30" s="88">
        <v>88</v>
      </c>
      <c r="N30" s="97">
        <v>125</v>
      </c>
      <c r="O30" s="88">
        <f t="shared" si="1"/>
        <v>137.5</v>
      </c>
      <c r="P30" s="88"/>
      <c r="Q30" s="2"/>
      <c r="R30" s="2"/>
    </row>
    <row r="31" spans="2:18" x14ac:dyDescent="0.2">
      <c r="B31" s="11" t="s">
        <v>55</v>
      </c>
      <c r="C31" s="10" t="s">
        <v>71</v>
      </c>
      <c r="D31" s="13" t="s">
        <v>313</v>
      </c>
      <c r="E31" s="89">
        <v>454</v>
      </c>
      <c r="F31" s="2"/>
      <c r="G31" s="2"/>
      <c r="I31" s="81">
        <v>245</v>
      </c>
      <c r="J31" s="2">
        <f t="shared" si="0"/>
        <v>269.5</v>
      </c>
      <c r="K31" s="88">
        <v>270</v>
      </c>
      <c r="N31" s="89">
        <v>300</v>
      </c>
      <c r="O31" s="88">
        <f t="shared" si="1"/>
        <v>330</v>
      </c>
      <c r="P31" s="88"/>
      <c r="Q31" s="2"/>
      <c r="R31" s="2"/>
    </row>
    <row r="32" spans="2:18" x14ac:dyDescent="0.2">
      <c r="B32" s="10">
        <v>8112</v>
      </c>
      <c r="C32" s="10" t="s">
        <v>72</v>
      </c>
      <c r="D32" s="13" t="s">
        <v>311</v>
      </c>
      <c r="E32" s="89">
        <v>413</v>
      </c>
      <c r="F32" s="2"/>
      <c r="G32" s="2"/>
      <c r="I32" s="16">
        <v>225</v>
      </c>
      <c r="J32" s="2">
        <f t="shared" si="0"/>
        <v>247.5</v>
      </c>
      <c r="K32" s="88">
        <v>248</v>
      </c>
      <c r="N32" s="97">
        <v>275</v>
      </c>
      <c r="O32" s="88">
        <f t="shared" si="1"/>
        <v>302.5</v>
      </c>
      <c r="P32" s="88"/>
      <c r="Q32" s="2"/>
      <c r="R32" s="2"/>
    </row>
    <row r="33" spans="2:18" x14ac:dyDescent="0.2">
      <c r="B33" s="10">
        <v>8115</v>
      </c>
      <c r="C33" s="10" t="s">
        <v>73</v>
      </c>
      <c r="D33" s="13" t="s">
        <v>311</v>
      </c>
      <c r="E33" s="89">
        <v>2025</v>
      </c>
      <c r="F33" s="2"/>
      <c r="G33" s="2"/>
      <c r="I33" s="81">
        <v>1210</v>
      </c>
      <c r="J33" s="2">
        <f t="shared" si="0"/>
        <v>1331</v>
      </c>
      <c r="K33" s="88">
        <v>1331</v>
      </c>
      <c r="N33" s="89">
        <v>1470</v>
      </c>
      <c r="O33" s="88">
        <f t="shared" si="1"/>
        <v>1617</v>
      </c>
      <c r="P33" s="88"/>
      <c r="Q33" s="2"/>
      <c r="R33" s="2"/>
    </row>
    <row r="34" spans="2:18" x14ac:dyDescent="0.2">
      <c r="B34" s="10">
        <v>8117</v>
      </c>
      <c r="C34" s="10" t="s">
        <v>74</v>
      </c>
      <c r="D34" s="13" t="s">
        <v>311</v>
      </c>
      <c r="E34" s="89">
        <v>992</v>
      </c>
      <c r="F34" s="2"/>
      <c r="G34" s="2"/>
      <c r="I34" s="16">
        <v>540</v>
      </c>
      <c r="J34" s="2">
        <f t="shared" si="0"/>
        <v>594</v>
      </c>
      <c r="K34" s="88">
        <v>594</v>
      </c>
      <c r="N34" s="97">
        <v>655</v>
      </c>
      <c r="O34" s="88">
        <f t="shared" si="1"/>
        <v>720.5</v>
      </c>
      <c r="P34" s="88"/>
      <c r="Q34" s="2"/>
      <c r="R34" s="2"/>
    </row>
    <row r="35" spans="2:18" x14ac:dyDescent="0.2">
      <c r="B35" s="10">
        <v>8120</v>
      </c>
      <c r="C35" s="10" t="s">
        <v>392</v>
      </c>
      <c r="D35" s="13" t="s">
        <v>311</v>
      </c>
      <c r="E35" s="89">
        <v>1618</v>
      </c>
      <c r="F35" s="2"/>
      <c r="G35" s="2"/>
      <c r="I35" s="82">
        <v>885</v>
      </c>
      <c r="J35" s="2">
        <f t="shared" si="0"/>
        <v>973.5</v>
      </c>
      <c r="K35" s="88">
        <v>974</v>
      </c>
      <c r="N35" s="89">
        <v>1070</v>
      </c>
      <c r="O35" s="88">
        <f t="shared" si="1"/>
        <v>1177</v>
      </c>
      <c r="P35" s="88"/>
      <c r="Q35" s="2"/>
      <c r="R35" s="2"/>
    </row>
    <row r="36" spans="2:18" x14ac:dyDescent="0.2">
      <c r="B36" s="10">
        <v>8121</v>
      </c>
      <c r="C36" s="10" t="s">
        <v>76</v>
      </c>
      <c r="D36" s="13" t="s">
        <v>311</v>
      </c>
      <c r="E36" s="90">
        <v>992</v>
      </c>
      <c r="F36" s="2"/>
      <c r="G36" s="2"/>
      <c r="I36" s="16">
        <v>540</v>
      </c>
      <c r="J36" s="2">
        <f t="shared" si="0"/>
        <v>594</v>
      </c>
      <c r="K36" s="88">
        <v>594</v>
      </c>
      <c r="N36" s="97">
        <v>655</v>
      </c>
      <c r="O36" s="88">
        <f t="shared" si="1"/>
        <v>720.5</v>
      </c>
      <c r="P36" s="88"/>
      <c r="Q36" s="2"/>
      <c r="R36" s="2"/>
    </row>
    <row r="37" spans="2:18" x14ac:dyDescent="0.2">
      <c r="B37" s="10">
        <v>8124</v>
      </c>
      <c r="C37" s="10" t="s">
        <v>77</v>
      </c>
      <c r="D37" s="13" t="s">
        <v>314</v>
      </c>
      <c r="E37" s="89">
        <v>186</v>
      </c>
      <c r="F37" s="2"/>
      <c r="G37" s="2"/>
      <c r="I37" s="81">
        <v>105</v>
      </c>
      <c r="J37" s="2">
        <f t="shared" si="0"/>
        <v>115.5</v>
      </c>
      <c r="K37" s="88">
        <v>116</v>
      </c>
      <c r="N37" s="89">
        <v>125</v>
      </c>
      <c r="O37" s="88">
        <f t="shared" si="1"/>
        <v>137.5</v>
      </c>
      <c r="P37" s="88"/>
      <c r="Q37" s="2"/>
      <c r="R37" s="2"/>
    </row>
    <row r="38" spans="2:18" x14ac:dyDescent="0.2">
      <c r="B38" s="10">
        <v>8126</v>
      </c>
      <c r="C38" s="10" t="s">
        <v>371</v>
      </c>
      <c r="D38" s="13" t="s">
        <v>311</v>
      </c>
      <c r="E38" s="89">
        <v>992</v>
      </c>
      <c r="F38" s="2"/>
      <c r="G38" s="2"/>
      <c r="I38" s="81"/>
      <c r="J38" s="2"/>
      <c r="N38" s="98">
        <v>655</v>
      </c>
      <c r="O38" s="88">
        <f t="shared" si="1"/>
        <v>720.5</v>
      </c>
      <c r="P38" s="88"/>
      <c r="Q38" s="2"/>
      <c r="R38" s="2"/>
    </row>
    <row r="39" spans="2:18" x14ac:dyDescent="0.2">
      <c r="B39" s="10">
        <v>8129</v>
      </c>
      <c r="C39" s="10" t="s">
        <v>78</v>
      </c>
      <c r="D39" s="13" t="s">
        <v>316</v>
      </c>
      <c r="E39" s="89">
        <v>2286</v>
      </c>
      <c r="F39" s="2"/>
      <c r="G39" s="2"/>
      <c r="I39" s="16">
        <v>1250</v>
      </c>
      <c r="J39" s="2">
        <f t="shared" si="0"/>
        <v>1375</v>
      </c>
      <c r="K39" s="88">
        <v>1375</v>
      </c>
      <c r="N39" s="89">
        <v>1510</v>
      </c>
      <c r="O39" s="88">
        <f t="shared" si="1"/>
        <v>1661</v>
      </c>
      <c r="P39" s="88"/>
      <c r="Q39" s="2"/>
      <c r="R39" s="2"/>
    </row>
    <row r="40" spans="2:18" x14ac:dyDescent="0.2">
      <c r="B40" s="10">
        <v>8131</v>
      </c>
      <c r="C40" s="10" t="s">
        <v>79</v>
      </c>
      <c r="D40" s="13" t="s">
        <v>316</v>
      </c>
      <c r="E40" s="89">
        <v>861</v>
      </c>
      <c r="F40" s="2"/>
      <c r="G40" s="2"/>
      <c r="I40" s="81">
        <v>475</v>
      </c>
      <c r="J40" s="2">
        <f t="shared" si="0"/>
        <v>522.5</v>
      </c>
      <c r="K40" s="88">
        <v>523</v>
      </c>
      <c r="N40" s="97">
        <v>570</v>
      </c>
      <c r="O40" s="88">
        <f t="shared" si="1"/>
        <v>627</v>
      </c>
      <c r="P40" s="88"/>
      <c r="Q40" s="2"/>
      <c r="R40" s="2"/>
    </row>
    <row r="41" spans="2:18" x14ac:dyDescent="0.2">
      <c r="B41" s="10">
        <v>8132</v>
      </c>
      <c r="C41" s="10" t="s">
        <v>80</v>
      </c>
      <c r="D41" s="13" t="s">
        <v>314</v>
      </c>
      <c r="E41" s="89">
        <v>1529</v>
      </c>
      <c r="F41" s="2"/>
      <c r="G41" s="2"/>
      <c r="I41" s="16">
        <v>835</v>
      </c>
      <c r="J41" s="2">
        <f t="shared" si="0"/>
        <v>918.5</v>
      </c>
      <c r="K41" s="88">
        <v>919</v>
      </c>
      <c r="N41" s="89">
        <v>1010</v>
      </c>
      <c r="O41" s="88">
        <f t="shared" si="1"/>
        <v>1111</v>
      </c>
      <c r="P41" s="88"/>
      <c r="Q41" s="2"/>
      <c r="R41" s="2"/>
    </row>
    <row r="42" spans="2:18" x14ac:dyDescent="0.2">
      <c r="B42" s="10">
        <v>8133</v>
      </c>
      <c r="C42" s="10" t="s">
        <v>81</v>
      </c>
      <c r="D42" s="13" t="s">
        <v>316</v>
      </c>
      <c r="E42" s="89">
        <v>1804</v>
      </c>
      <c r="F42" s="2"/>
      <c r="G42" s="2"/>
      <c r="I42" s="81">
        <v>980</v>
      </c>
      <c r="J42" s="2">
        <f t="shared" si="0"/>
        <v>1078</v>
      </c>
      <c r="K42" s="88">
        <v>1078</v>
      </c>
      <c r="N42" s="97">
        <v>1190</v>
      </c>
      <c r="O42" s="88">
        <f t="shared" si="1"/>
        <v>1309</v>
      </c>
      <c r="P42" s="88"/>
      <c r="Q42" s="2"/>
      <c r="R42" s="2"/>
    </row>
    <row r="43" spans="2:18" x14ac:dyDescent="0.2">
      <c r="B43" s="10">
        <v>8135</v>
      </c>
      <c r="C43" s="10" t="s">
        <v>82</v>
      </c>
      <c r="D43" s="13" t="s">
        <v>316</v>
      </c>
      <c r="E43" s="89">
        <v>1033</v>
      </c>
      <c r="F43" s="2"/>
      <c r="G43" s="2"/>
      <c r="I43" s="16">
        <v>565</v>
      </c>
      <c r="J43" s="2">
        <f t="shared" si="0"/>
        <v>621.5</v>
      </c>
      <c r="K43" s="88">
        <v>622</v>
      </c>
      <c r="N43" s="89">
        <v>680</v>
      </c>
      <c r="O43" s="88">
        <f t="shared" si="1"/>
        <v>748</v>
      </c>
      <c r="P43" s="88"/>
      <c r="Q43" s="2"/>
      <c r="R43" s="2"/>
    </row>
    <row r="44" spans="2:18" x14ac:dyDescent="0.2">
      <c r="B44" s="10">
        <v>8136</v>
      </c>
      <c r="C44" s="10" t="s">
        <v>83</v>
      </c>
      <c r="D44" s="13" t="s">
        <v>314</v>
      </c>
      <c r="E44" s="89">
        <v>832</v>
      </c>
      <c r="F44" s="2"/>
      <c r="G44" s="2"/>
      <c r="I44" s="81">
        <v>455</v>
      </c>
      <c r="J44" s="2">
        <f t="shared" si="0"/>
        <v>500.5</v>
      </c>
      <c r="K44" s="88">
        <v>501</v>
      </c>
      <c r="N44" s="97">
        <v>550</v>
      </c>
      <c r="O44" s="88">
        <f t="shared" si="1"/>
        <v>605</v>
      </c>
      <c r="P44" s="88"/>
      <c r="Q44" s="2"/>
      <c r="R44" s="2"/>
    </row>
    <row r="45" spans="2:18" x14ac:dyDescent="0.2">
      <c r="B45" s="10">
        <v>8137</v>
      </c>
      <c r="C45" s="10" t="s">
        <v>84</v>
      </c>
      <c r="D45" s="13" t="s">
        <v>316</v>
      </c>
      <c r="E45" s="89">
        <v>4013</v>
      </c>
      <c r="F45" s="2"/>
      <c r="G45" s="2"/>
      <c r="I45" s="16">
        <v>2190</v>
      </c>
      <c r="J45" s="2">
        <f t="shared" si="0"/>
        <v>2409</v>
      </c>
      <c r="K45" s="88">
        <v>2409</v>
      </c>
      <c r="N45" s="89">
        <v>2650</v>
      </c>
      <c r="O45" s="88">
        <f t="shared" si="1"/>
        <v>2915</v>
      </c>
      <c r="P45" s="88"/>
      <c r="Q45" s="2"/>
      <c r="R45" s="2"/>
    </row>
    <row r="46" spans="2:18" x14ac:dyDescent="0.2">
      <c r="B46" s="10">
        <v>8139</v>
      </c>
      <c r="C46" s="10" t="s">
        <v>85</v>
      </c>
      <c r="D46" s="13" t="s">
        <v>311</v>
      </c>
      <c r="E46" s="89">
        <v>998</v>
      </c>
      <c r="F46" s="2"/>
      <c r="G46" s="2"/>
      <c r="I46" s="81">
        <v>545</v>
      </c>
      <c r="J46" s="2">
        <f t="shared" si="0"/>
        <v>599.5</v>
      </c>
      <c r="K46" s="88">
        <v>600</v>
      </c>
      <c r="N46" s="97">
        <v>660</v>
      </c>
      <c r="O46" s="88">
        <f t="shared" si="1"/>
        <v>726</v>
      </c>
      <c r="P46" s="88"/>
      <c r="Q46" s="2"/>
      <c r="R46" s="2"/>
    </row>
    <row r="47" spans="2:18" x14ac:dyDescent="0.2">
      <c r="B47" s="10">
        <v>8140</v>
      </c>
      <c r="C47" s="10" t="s">
        <v>86</v>
      </c>
      <c r="D47" s="13" t="s">
        <v>311</v>
      </c>
      <c r="E47" s="89">
        <v>1515</v>
      </c>
      <c r="F47" s="2"/>
      <c r="G47" s="2"/>
      <c r="I47" s="16">
        <v>825</v>
      </c>
      <c r="J47" s="2">
        <f t="shared" si="0"/>
        <v>907.5</v>
      </c>
      <c r="K47" s="88">
        <v>908</v>
      </c>
      <c r="N47" s="89">
        <v>1000</v>
      </c>
      <c r="O47" s="88">
        <f t="shared" si="1"/>
        <v>1100</v>
      </c>
      <c r="P47" s="88"/>
      <c r="Q47" s="2"/>
      <c r="R47" s="2"/>
    </row>
    <row r="48" spans="2:18" x14ac:dyDescent="0.2">
      <c r="B48" s="10">
        <v>8142</v>
      </c>
      <c r="C48" s="10" t="s">
        <v>87</v>
      </c>
      <c r="D48" s="13" t="s">
        <v>316</v>
      </c>
      <c r="E48" s="89">
        <v>1804</v>
      </c>
      <c r="F48" s="2"/>
      <c r="G48" s="2"/>
      <c r="I48" s="81">
        <v>980</v>
      </c>
      <c r="J48" s="2">
        <f t="shared" si="0"/>
        <v>1078</v>
      </c>
      <c r="K48" s="88">
        <v>1078</v>
      </c>
      <c r="N48" s="97">
        <v>1190</v>
      </c>
      <c r="O48" s="88">
        <f t="shared" si="1"/>
        <v>1309</v>
      </c>
      <c r="P48" s="88"/>
      <c r="Q48" s="2"/>
      <c r="R48" s="2"/>
    </row>
    <row r="49" spans="2:18" x14ac:dyDescent="0.2">
      <c r="B49" s="10">
        <v>8145</v>
      </c>
      <c r="C49" s="10" t="s">
        <v>88</v>
      </c>
      <c r="D49" s="13" t="s">
        <v>316</v>
      </c>
      <c r="E49" s="89">
        <v>502</v>
      </c>
      <c r="F49" s="2"/>
      <c r="G49" s="2"/>
      <c r="I49" s="16">
        <v>270</v>
      </c>
      <c r="J49" s="2">
        <f t="shared" si="0"/>
        <v>297</v>
      </c>
      <c r="K49" s="88">
        <v>297</v>
      </c>
      <c r="N49" s="89">
        <v>330</v>
      </c>
      <c r="O49" s="88">
        <f t="shared" si="1"/>
        <v>363</v>
      </c>
      <c r="P49" s="88"/>
      <c r="Q49" s="2"/>
      <c r="R49" s="2"/>
    </row>
    <row r="50" spans="2:18" x14ac:dyDescent="0.2">
      <c r="B50" s="11" t="s">
        <v>56</v>
      </c>
      <c r="C50" s="10" t="s">
        <v>89</v>
      </c>
      <c r="D50" s="13" t="s">
        <v>316</v>
      </c>
      <c r="E50" s="204">
        <v>1</v>
      </c>
      <c r="F50" s="2"/>
      <c r="G50" s="2"/>
      <c r="I50" s="81">
        <v>135</v>
      </c>
      <c r="J50" s="2">
        <f t="shared" si="0"/>
        <v>148.5</v>
      </c>
      <c r="K50" s="88">
        <v>149</v>
      </c>
      <c r="N50" s="97">
        <v>165</v>
      </c>
      <c r="O50" s="88">
        <f t="shared" si="1"/>
        <v>181.5</v>
      </c>
      <c r="P50" s="88"/>
      <c r="Q50" s="2"/>
      <c r="R50" s="2"/>
    </row>
    <row r="51" spans="2:18" x14ac:dyDescent="0.2">
      <c r="B51" s="10">
        <v>8146</v>
      </c>
      <c r="C51" s="10" t="s">
        <v>90</v>
      </c>
      <c r="D51" s="13" t="s">
        <v>316</v>
      </c>
      <c r="E51" s="102">
        <v>978</v>
      </c>
      <c r="F51" s="2"/>
      <c r="G51" s="2"/>
      <c r="I51" s="16">
        <v>530</v>
      </c>
      <c r="J51" s="2">
        <f t="shared" si="0"/>
        <v>583</v>
      </c>
      <c r="K51" s="88">
        <v>583</v>
      </c>
      <c r="N51" s="89">
        <v>645</v>
      </c>
      <c r="O51" s="88">
        <f t="shared" si="1"/>
        <v>709.5</v>
      </c>
      <c r="P51" s="88"/>
      <c r="Q51" s="2"/>
      <c r="R51" s="2"/>
    </row>
    <row r="52" spans="2:18" x14ac:dyDescent="0.2">
      <c r="B52" s="10">
        <v>8148</v>
      </c>
      <c r="C52" s="10" t="s">
        <v>91</v>
      </c>
      <c r="D52" s="13" t="s">
        <v>316</v>
      </c>
      <c r="E52" s="204">
        <v>0</v>
      </c>
      <c r="F52" s="2"/>
      <c r="G52" s="2"/>
      <c r="I52" s="81"/>
      <c r="J52" s="2">
        <f t="shared" si="0"/>
        <v>0</v>
      </c>
      <c r="N52" s="97"/>
      <c r="O52" s="88">
        <f t="shared" si="1"/>
        <v>0</v>
      </c>
      <c r="P52" s="88"/>
      <c r="Q52" s="2"/>
      <c r="R52" s="2"/>
    </row>
    <row r="53" spans="2:18" x14ac:dyDescent="0.2">
      <c r="B53" s="10">
        <v>8151</v>
      </c>
      <c r="C53" s="10" t="s">
        <v>92</v>
      </c>
      <c r="D53" s="13" t="s">
        <v>312</v>
      </c>
      <c r="E53" s="89">
        <v>261</v>
      </c>
      <c r="F53" s="2"/>
      <c r="G53" s="2"/>
      <c r="I53" s="16">
        <v>630</v>
      </c>
      <c r="J53" s="2">
        <f t="shared" si="0"/>
        <v>693</v>
      </c>
      <c r="K53" s="88">
        <v>693</v>
      </c>
      <c r="N53" s="89">
        <v>170</v>
      </c>
      <c r="O53" s="88">
        <f t="shared" si="1"/>
        <v>187</v>
      </c>
      <c r="P53" s="88"/>
      <c r="Q53" s="2"/>
      <c r="R53" s="2"/>
    </row>
    <row r="54" spans="2:18" x14ac:dyDescent="0.2">
      <c r="B54" s="10">
        <v>8154</v>
      </c>
      <c r="C54" s="10" t="s">
        <v>93</v>
      </c>
      <c r="D54" s="13" t="s">
        <v>311</v>
      </c>
      <c r="E54" s="89">
        <v>992</v>
      </c>
      <c r="F54" s="2"/>
      <c r="G54" s="2"/>
      <c r="I54" s="81">
        <v>540</v>
      </c>
      <c r="J54" s="2">
        <f t="shared" si="0"/>
        <v>594</v>
      </c>
      <c r="K54" s="88">
        <v>594</v>
      </c>
      <c r="N54" s="97">
        <v>655</v>
      </c>
      <c r="O54" s="88">
        <f t="shared" si="1"/>
        <v>720.5</v>
      </c>
      <c r="P54" s="88"/>
      <c r="Q54" s="2"/>
      <c r="R54" s="2"/>
    </row>
    <row r="55" spans="2:18" x14ac:dyDescent="0.2">
      <c r="B55" s="10">
        <v>8155</v>
      </c>
      <c r="C55" s="10" t="s">
        <v>94</v>
      </c>
      <c r="D55" s="13" t="s">
        <v>312</v>
      </c>
      <c r="E55" s="89">
        <v>812</v>
      </c>
      <c r="F55" s="2"/>
      <c r="G55" s="2"/>
      <c r="I55" s="16">
        <v>440</v>
      </c>
      <c r="J55" s="2">
        <f t="shared" si="0"/>
        <v>484</v>
      </c>
      <c r="K55" s="88">
        <v>484</v>
      </c>
      <c r="N55" s="89">
        <v>535</v>
      </c>
      <c r="O55" s="88">
        <f t="shared" si="1"/>
        <v>588.5</v>
      </c>
      <c r="P55" s="88"/>
      <c r="Q55" s="2"/>
      <c r="R55" s="2"/>
    </row>
    <row r="56" spans="2:18" x14ac:dyDescent="0.2">
      <c r="B56" s="10">
        <v>8156</v>
      </c>
      <c r="C56" s="10" t="s">
        <v>95</v>
      </c>
      <c r="D56" s="13" t="s">
        <v>316</v>
      </c>
      <c r="E56" s="89">
        <v>1033</v>
      </c>
      <c r="F56" s="2"/>
      <c r="G56" s="2"/>
      <c r="I56" s="81">
        <v>565</v>
      </c>
      <c r="J56" s="2">
        <f t="shared" si="0"/>
        <v>621.5</v>
      </c>
      <c r="K56" s="88">
        <v>622</v>
      </c>
      <c r="N56" s="97">
        <v>680</v>
      </c>
      <c r="O56" s="88">
        <f t="shared" si="1"/>
        <v>748</v>
      </c>
      <c r="P56" s="88"/>
      <c r="Q56" s="2"/>
      <c r="R56" s="2"/>
    </row>
    <row r="57" spans="2:18" x14ac:dyDescent="0.2">
      <c r="B57" s="10">
        <v>8157</v>
      </c>
      <c r="C57" s="10" t="s">
        <v>96</v>
      </c>
      <c r="D57" s="13" t="s">
        <v>316</v>
      </c>
      <c r="E57" s="89">
        <v>1150</v>
      </c>
      <c r="F57" s="2"/>
      <c r="G57" s="2"/>
      <c r="I57" s="16">
        <v>625</v>
      </c>
      <c r="J57" s="2">
        <f t="shared" si="0"/>
        <v>687.5</v>
      </c>
      <c r="K57" s="88">
        <v>688</v>
      </c>
      <c r="N57" s="89">
        <v>760</v>
      </c>
      <c r="O57" s="88">
        <f t="shared" si="1"/>
        <v>836</v>
      </c>
      <c r="P57" s="88"/>
      <c r="Q57" s="2"/>
      <c r="R57" s="2"/>
    </row>
    <row r="58" spans="2:18" x14ac:dyDescent="0.2">
      <c r="B58" s="10">
        <v>8158</v>
      </c>
      <c r="C58" s="10" t="s">
        <v>97</v>
      </c>
      <c r="D58" s="13" t="s">
        <v>315</v>
      </c>
      <c r="E58" s="89">
        <v>207</v>
      </c>
      <c r="F58" s="2"/>
      <c r="G58" s="2"/>
      <c r="I58" s="81">
        <v>1300</v>
      </c>
      <c r="J58" s="2">
        <f t="shared" si="0"/>
        <v>1430</v>
      </c>
      <c r="K58" s="88">
        <v>1430</v>
      </c>
      <c r="N58" s="97">
        <v>150</v>
      </c>
      <c r="O58" s="88">
        <f t="shared" si="1"/>
        <v>165</v>
      </c>
      <c r="P58" s="88"/>
      <c r="Q58" s="2"/>
      <c r="R58" s="2"/>
    </row>
    <row r="59" spans="2:18" x14ac:dyDescent="0.2">
      <c r="B59" s="10" t="s">
        <v>397</v>
      </c>
      <c r="C59" s="10" t="s">
        <v>98</v>
      </c>
      <c r="D59" s="13" t="s">
        <v>312</v>
      </c>
      <c r="E59" s="89">
        <v>1081</v>
      </c>
      <c r="F59" s="2"/>
      <c r="G59" s="2"/>
      <c r="I59" s="81"/>
      <c r="J59" s="2"/>
      <c r="N59" s="89">
        <v>750</v>
      </c>
      <c r="O59" s="88">
        <f t="shared" si="1"/>
        <v>825</v>
      </c>
      <c r="P59" s="88"/>
      <c r="Q59" s="2"/>
      <c r="R59" s="2"/>
    </row>
    <row r="60" spans="2:18" x14ac:dyDescent="0.2">
      <c r="B60" s="10">
        <v>8159</v>
      </c>
      <c r="C60" s="10" t="s">
        <v>98</v>
      </c>
      <c r="D60" s="13" t="s">
        <v>312</v>
      </c>
      <c r="E60" s="89">
        <v>1081</v>
      </c>
      <c r="F60" s="2"/>
      <c r="G60" s="2"/>
      <c r="I60" s="16">
        <v>680</v>
      </c>
      <c r="J60" s="2">
        <f t="shared" si="0"/>
        <v>748</v>
      </c>
      <c r="K60" s="88">
        <v>748</v>
      </c>
      <c r="N60" s="97">
        <v>750</v>
      </c>
      <c r="O60" s="88">
        <f t="shared" si="1"/>
        <v>825</v>
      </c>
      <c r="P60" s="88"/>
      <c r="Q60" s="2"/>
      <c r="R60" s="2"/>
    </row>
    <row r="61" spans="2:18" x14ac:dyDescent="0.2">
      <c r="B61" s="10">
        <v>8160</v>
      </c>
      <c r="C61" s="10" t="s">
        <v>99</v>
      </c>
      <c r="D61" s="13" t="s">
        <v>312</v>
      </c>
      <c r="E61" s="89">
        <v>1081</v>
      </c>
      <c r="F61" s="2"/>
      <c r="G61" s="2"/>
      <c r="I61" s="81">
        <v>590</v>
      </c>
      <c r="J61" s="2">
        <f t="shared" si="0"/>
        <v>649</v>
      </c>
      <c r="K61" s="88">
        <v>649</v>
      </c>
      <c r="N61" s="89">
        <v>715</v>
      </c>
      <c r="O61" s="88">
        <f t="shared" si="1"/>
        <v>786.5</v>
      </c>
      <c r="P61" s="88"/>
      <c r="Q61" s="2"/>
      <c r="R61" s="2"/>
    </row>
    <row r="62" spans="2:18" s="25" customFormat="1" x14ac:dyDescent="0.2">
      <c r="B62" s="100">
        <v>8161</v>
      </c>
      <c r="C62" s="100" t="s">
        <v>100</v>
      </c>
      <c r="D62" s="101" t="s">
        <v>312</v>
      </c>
      <c r="E62" s="102">
        <v>413</v>
      </c>
      <c r="F62" s="26"/>
      <c r="G62" s="26"/>
      <c r="I62" s="103">
        <v>225</v>
      </c>
      <c r="J62" s="26">
        <f t="shared" si="0"/>
        <v>247.5</v>
      </c>
      <c r="K62" s="104">
        <v>248</v>
      </c>
      <c r="N62" s="105">
        <v>275</v>
      </c>
      <c r="O62" s="104">
        <f t="shared" si="1"/>
        <v>302.5</v>
      </c>
      <c r="P62" s="104"/>
      <c r="Q62" s="2"/>
      <c r="R62" s="2"/>
    </row>
    <row r="63" spans="2:18" x14ac:dyDescent="0.2">
      <c r="B63" s="10">
        <v>8162</v>
      </c>
      <c r="C63" s="10" t="s">
        <v>101</v>
      </c>
      <c r="D63" s="13" t="s">
        <v>312</v>
      </c>
      <c r="E63" s="89">
        <v>413</v>
      </c>
      <c r="F63" s="2"/>
      <c r="G63" s="2"/>
      <c r="I63" s="81">
        <v>225</v>
      </c>
      <c r="J63" s="2">
        <f t="shared" si="0"/>
        <v>247.5</v>
      </c>
      <c r="K63" s="88">
        <v>248</v>
      </c>
      <c r="N63" s="89">
        <v>275</v>
      </c>
      <c r="O63" s="88">
        <f t="shared" si="1"/>
        <v>302.5</v>
      </c>
      <c r="P63" s="88"/>
      <c r="Q63" s="2"/>
      <c r="R63" s="2"/>
    </row>
    <row r="64" spans="2:18" x14ac:dyDescent="0.2">
      <c r="B64" s="10">
        <v>8163</v>
      </c>
      <c r="C64" s="10" t="s">
        <v>102</v>
      </c>
      <c r="D64" s="13" t="s">
        <v>315</v>
      </c>
      <c r="E64" s="89">
        <v>585</v>
      </c>
      <c r="F64" s="2"/>
      <c r="G64" s="2"/>
      <c r="I64" s="16">
        <v>320</v>
      </c>
      <c r="J64" s="2">
        <f t="shared" si="0"/>
        <v>352</v>
      </c>
      <c r="K64" s="88">
        <v>352</v>
      </c>
      <c r="N64" s="97">
        <v>385</v>
      </c>
      <c r="O64" s="88">
        <f t="shared" si="1"/>
        <v>423.5</v>
      </c>
      <c r="P64" s="88"/>
      <c r="Q64" s="2"/>
      <c r="R64" s="2"/>
    </row>
    <row r="65" spans="2:18" x14ac:dyDescent="0.2">
      <c r="B65" s="10">
        <v>8164</v>
      </c>
      <c r="C65" s="10" t="s">
        <v>103</v>
      </c>
      <c r="D65" s="13" t="s">
        <v>311</v>
      </c>
      <c r="E65" s="89">
        <v>743</v>
      </c>
      <c r="F65" s="2"/>
      <c r="G65" s="2"/>
      <c r="I65" s="81">
        <v>405</v>
      </c>
      <c r="J65" s="2">
        <f t="shared" si="0"/>
        <v>445.5</v>
      </c>
      <c r="K65" s="88">
        <v>446</v>
      </c>
      <c r="N65" s="89">
        <v>490</v>
      </c>
      <c r="O65" s="88">
        <f t="shared" si="1"/>
        <v>539</v>
      </c>
      <c r="P65" s="88"/>
      <c r="Q65" s="2"/>
      <c r="R65" s="2"/>
    </row>
    <row r="66" spans="2:18" x14ac:dyDescent="0.2">
      <c r="B66" s="10">
        <v>8165</v>
      </c>
      <c r="C66" s="10" t="s">
        <v>104</v>
      </c>
      <c r="D66" s="13" t="s">
        <v>316</v>
      </c>
      <c r="E66" s="199">
        <v>1494</v>
      </c>
      <c r="F66" s="2"/>
      <c r="G66" s="2"/>
      <c r="I66" s="16">
        <v>815</v>
      </c>
      <c r="J66" s="2">
        <f t="shared" si="0"/>
        <v>896.5</v>
      </c>
      <c r="K66" s="88">
        <v>897</v>
      </c>
      <c r="N66" s="97">
        <v>985</v>
      </c>
      <c r="O66" s="88">
        <f t="shared" si="1"/>
        <v>1083.5</v>
      </c>
      <c r="P66" s="88"/>
      <c r="Q66" s="2"/>
      <c r="R66" s="2"/>
    </row>
    <row r="67" spans="2:18" x14ac:dyDescent="0.2">
      <c r="B67" s="10">
        <v>8166</v>
      </c>
      <c r="C67" s="10" t="s">
        <v>105</v>
      </c>
      <c r="D67" s="13" t="s">
        <v>312</v>
      </c>
      <c r="E67" s="89">
        <v>599</v>
      </c>
      <c r="F67" s="2"/>
      <c r="G67" s="2"/>
      <c r="I67" s="81">
        <v>325</v>
      </c>
      <c r="J67" s="2">
        <f t="shared" si="0"/>
        <v>357.5</v>
      </c>
      <c r="K67" s="88">
        <v>358</v>
      </c>
      <c r="N67" s="89">
        <v>395</v>
      </c>
      <c r="O67" s="88">
        <f t="shared" si="1"/>
        <v>434.5</v>
      </c>
      <c r="P67" s="88"/>
      <c r="Q67" s="2"/>
      <c r="R67" s="2"/>
    </row>
    <row r="68" spans="2:18" x14ac:dyDescent="0.2">
      <c r="B68" s="10">
        <v>8167</v>
      </c>
      <c r="C68" s="10" t="s">
        <v>106</v>
      </c>
      <c r="D68" s="13" t="s">
        <v>312</v>
      </c>
      <c r="E68" s="89">
        <v>861</v>
      </c>
      <c r="F68" s="2"/>
      <c r="G68" s="2"/>
      <c r="I68" s="16">
        <v>475</v>
      </c>
      <c r="J68" s="2">
        <f t="shared" si="0"/>
        <v>522.5</v>
      </c>
      <c r="K68" s="88">
        <v>523</v>
      </c>
      <c r="N68" s="97">
        <v>570</v>
      </c>
      <c r="O68" s="88">
        <f t="shared" si="1"/>
        <v>627</v>
      </c>
      <c r="P68" s="88"/>
      <c r="Q68" s="2"/>
      <c r="R68" s="2"/>
    </row>
    <row r="69" spans="2:18" x14ac:dyDescent="0.2">
      <c r="B69" s="10">
        <v>8169</v>
      </c>
      <c r="C69" s="10" t="s">
        <v>107</v>
      </c>
      <c r="D69" s="13" t="s">
        <v>317</v>
      </c>
      <c r="E69" s="89">
        <v>1246</v>
      </c>
      <c r="F69" s="2"/>
      <c r="G69" s="2"/>
      <c r="I69" s="81">
        <v>680</v>
      </c>
      <c r="J69" s="2">
        <f t="shared" si="0"/>
        <v>748</v>
      </c>
      <c r="K69" s="88">
        <v>748</v>
      </c>
      <c r="N69" s="89">
        <v>825</v>
      </c>
      <c r="O69" s="88">
        <f t="shared" si="1"/>
        <v>907.5</v>
      </c>
      <c r="P69" s="88"/>
      <c r="Q69" s="2"/>
      <c r="R69" s="2"/>
    </row>
    <row r="70" spans="2:18" x14ac:dyDescent="0.2">
      <c r="B70" s="10">
        <v>8171</v>
      </c>
      <c r="C70" s="10" t="s">
        <v>108</v>
      </c>
      <c r="D70" s="13" t="s">
        <v>317</v>
      </c>
      <c r="E70" s="89">
        <v>1246</v>
      </c>
      <c r="F70" s="2"/>
      <c r="G70" s="2"/>
      <c r="I70" s="16">
        <v>680</v>
      </c>
      <c r="J70" s="2">
        <f t="shared" si="0"/>
        <v>748</v>
      </c>
      <c r="K70" s="88">
        <v>748</v>
      </c>
      <c r="N70" s="97">
        <v>825</v>
      </c>
      <c r="O70" s="88">
        <f t="shared" si="1"/>
        <v>907.5</v>
      </c>
      <c r="P70" s="88"/>
      <c r="Q70" s="2"/>
      <c r="R70" s="2"/>
    </row>
    <row r="71" spans="2:18" x14ac:dyDescent="0.2">
      <c r="B71" s="10">
        <v>8172</v>
      </c>
      <c r="C71" s="10" t="s">
        <v>109</v>
      </c>
      <c r="D71" s="13" t="s">
        <v>318</v>
      </c>
      <c r="E71" s="89">
        <v>1494</v>
      </c>
      <c r="F71" s="2"/>
      <c r="G71" s="2"/>
      <c r="I71" s="81">
        <v>815</v>
      </c>
      <c r="J71" s="2">
        <f t="shared" si="0"/>
        <v>896.5</v>
      </c>
      <c r="K71" s="88">
        <v>897</v>
      </c>
      <c r="N71" s="89">
        <v>895</v>
      </c>
      <c r="O71" s="88">
        <f t="shared" si="1"/>
        <v>984.5</v>
      </c>
      <c r="P71" s="88"/>
      <c r="Q71" s="2"/>
      <c r="R71" s="2"/>
    </row>
    <row r="72" spans="2:18" x14ac:dyDescent="0.2">
      <c r="B72" s="10">
        <v>8173</v>
      </c>
      <c r="C72" s="10" t="s">
        <v>110</v>
      </c>
      <c r="D72" s="13" t="s">
        <v>313</v>
      </c>
      <c r="E72" s="89">
        <v>1804</v>
      </c>
      <c r="F72" s="2"/>
      <c r="G72" s="2"/>
      <c r="I72" s="16">
        <v>980</v>
      </c>
      <c r="J72" s="2">
        <f t="shared" si="0"/>
        <v>1078</v>
      </c>
      <c r="K72" s="88">
        <v>1078</v>
      </c>
      <c r="N72" s="97">
        <v>1190</v>
      </c>
      <c r="O72" s="88">
        <f t="shared" si="1"/>
        <v>1309</v>
      </c>
      <c r="P72" s="88"/>
      <c r="Q72" s="2"/>
      <c r="R72" s="2"/>
    </row>
    <row r="73" spans="2:18" x14ac:dyDescent="0.2">
      <c r="B73" s="10">
        <v>8175</v>
      </c>
      <c r="C73" s="10" t="s">
        <v>111</v>
      </c>
      <c r="D73" s="13" t="s">
        <v>313</v>
      </c>
      <c r="E73" s="89">
        <v>2278</v>
      </c>
      <c r="F73" s="2"/>
      <c r="G73" s="2"/>
      <c r="I73" s="81">
        <v>1245</v>
      </c>
      <c r="J73" s="2">
        <f t="shared" si="0"/>
        <v>1369.5</v>
      </c>
      <c r="K73" s="88">
        <v>1370</v>
      </c>
      <c r="N73" s="89">
        <v>1505</v>
      </c>
      <c r="O73" s="88">
        <f t="shared" si="1"/>
        <v>1655.5</v>
      </c>
      <c r="P73" s="88"/>
      <c r="Q73" s="2"/>
      <c r="R73" s="2"/>
    </row>
    <row r="74" spans="2:18" x14ac:dyDescent="0.2">
      <c r="B74" s="10">
        <v>8176</v>
      </c>
      <c r="C74" s="10" t="s">
        <v>112</v>
      </c>
      <c r="D74" s="13" t="s">
        <v>319</v>
      </c>
      <c r="E74" s="89">
        <v>1260</v>
      </c>
      <c r="F74" s="2"/>
      <c r="G74" s="2"/>
      <c r="I74" s="16">
        <v>685</v>
      </c>
      <c r="J74" s="2">
        <f t="shared" si="0"/>
        <v>753.5</v>
      </c>
      <c r="K74" s="88">
        <v>754</v>
      </c>
      <c r="N74" s="97">
        <v>830</v>
      </c>
      <c r="O74" s="88">
        <f t="shared" si="1"/>
        <v>913</v>
      </c>
      <c r="P74" s="88"/>
      <c r="Q74" s="2"/>
      <c r="R74" s="2"/>
    </row>
    <row r="75" spans="2:18" x14ac:dyDescent="0.2">
      <c r="B75" s="10">
        <v>8189</v>
      </c>
      <c r="C75" s="10" t="s">
        <v>113</v>
      </c>
      <c r="D75" s="13" t="s">
        <v>311</v>
      </c>
      <c r="E75" s="89">
        <v>743</v>
      </c>
      <c r="F75" s="2"/>
      <c r="G75" s="2"/>
      <c r="I75" s="81">
        <v>405</v>
      </c>
      <c r="J75" s="2">
        <f t="shared" si="0"/>
        <v>445.5</v>
      </c>
      <c r="K75" s="88">
        <v>446</v>
      </c>
      <c r="N75" s="89">
        <v>490</v>
      </c>
      <c r="O75" s="88">
        <f t="shared" si="1"/>
        <v>539</v>
      </c>
      <c r="P75" s="88"/>
      <c r="Q75" s="2"/>
      <c r="R75" s="2"/>
    </row>
    <row r="76" spans="2:18" x14ac:dyDescent="0.2">
      <c r="B76" s="10">
        <v>8190</v>
      </c>
      <c r="C76" s="10" t="s">
        <v>114</v>
      </c>
      <c r="D76" s="13" t="s">
        <v>311</v>
      </c>
      <c r="E76" s="89">
        <v>992</v>
      </c>
      <c r="F76" s="2"/>
      <c r="G76" s="2"/>
      <c r="I76" s="16">
        <v>540</v>
      </c>
      <c r="J76" s="2">
        <f t="shared" si="0"/>
        <v>594</v>
      </c>
      <c r="K76" s="88">
        <v>594</v>
      </c>
      <c r="N76" s="97">
        <v>655</v>
      </c>
      <c r="O76" s="88">
        <f t="shared" si="1"/>
        <v>720.5</v>
      </c>
      <c r="P76" s="88"/>
      <c r="Q76" s="2"/>
      <c r="R76" s="2"/>
    </row>
    <row r="77" spans="2:18" x14ac:dyDescent="0.2">
      <c r="B77" s="10">
        <v>8192</v>
      </c>
      <c r="C77" s="10" t="s">
        <v>32</v>
      </c>
      <c r="D77" s="13" t="s">
        <v>313</v>
      </c>
      <c r="E77" s="89">
        <v>537</v>
      </c>
      <c r="F77" s="2"/>
      <c r="G77" s="2"/>
      <c r="I77" s="81">
        <v>295</v>
      </c>
      <c r="J77" s="2">
        <f t="shared" si="0"/>
        <v>324.5</v>
      </c>
      <c r="K77" s="88">
        <v>325</v>
      </c>
      <c r="N77" s="89">
        <v>355</v>
      </c>
      <c r="O77" s="88">
        <f t="shared" si="1"/>
        <v>390.5</v>
      </c>
      <c r="P77" s="88"/>
      <c r="Q77" s="2"/>
      <c r="R77" s="2"/>
    </row>
    <row r="78" spans="2:18" x14ac:dyDescent="0.2">
      <c r="B78" s="10">
        <v>8195</v>
      </c>
      <c r="C78" s="10" t="s">
        <v>115</v>
      </c>
      <c r="D78" s="13" t="s">
        <v>311</v>
      </c>
      <c r="E78" s="89">
        <v>4469</v>
      </c>
      <c r="F78" s="2"/>
      <c r="G78" s="2"/>
      <c r="I78" s="16">
        <v>1610</v>
      </c>
      <c r="J78" s="2">
        <f t="shared" si="0"/>
        <v>1771</v>
      </c>
      <c r="K78" s="88">
        <v>1771</v>
      </c>
      <c r="N78" s="97">
        <v>1950</v>
      </c>
      <c r="O78" s="88">
        <f t="shared" si="1"/>
        <v>2145</v>
      </c>
      <c r="P78" s="88"/>
      <c r="Q78" s="2"/>
      <c r="R78" s="2"/>
    </row>
    <row r="79" spans="2:18" x14ac:dyDescent="0.2">
      <c r="B79" s="10">
        <v>8196</v>
      </c>
      <c r="C79" s="10" t="s">
        <v>116</v>
      </c>
      <c r="D79" s="13" t="s">
        <v>311</v>
      </c>
      <c r="E79" s="89">
        <v>4469</v>
      </c>
      <c r="F79" s="2"/>
      <c r="G79" s="2"/>
      <c r="I79" s="81">
        <v>1610</v>
      </c>
      <c r="J79" s="2">
        <f t="shared" si="0"/>
        <v>1771</v>
      </c>
      <c r="K79" s="88">
        <v>1771</v>
      </c>
      <c r="N79" s="89">
        <v>1950</v>
      </c>
      <c r="O79" s="88">
        <f t="shared" si="1"/>
        <v>2145</v>
      </c>
      <c r="P79" s="88"/>
      <c r="Q79" s="2"/>
      <c r="R79" s="2"/>
    </row>
    <row r="80" spans="2:18" x14ac:dyDescent="0.2">
      <c r="B80" s="10">
        <v>8197</v>
      </c>
      <c r="C80" s="10" t="s">
        <v>117</v>
      </c>
      <c r="D80" s="13" t="s">
        <v>311</v>
      </c>
      <c r="E80" s="89">
        <v>5983</v>
      </c>
      <c r="F80" s="2"/>
      <c r="G80" s="2"/>
      <c r="I80" s="16">
        <v>2420</v>
      </c>
      <c r="J80" s="2">
        <f t="shared" si="0"/>
        <v>2662</v>
      </c>
      <c r="K80" s="88">
        <v>2662</v>
      </c>
      <c r="N80" s="97">
        <v>2925</v>
      </c>
      <c r="O80" s="88">
        <f t="shared" si="1"/>
        <v>3217.5</v>
      </c>
      <c r="P80" s="88"/>
      <c r="Q80" s="2"/>
      <c r="R80" s="2"/>
    </row>
    <row r="81" spans="2:18" x14ac:dyDescent="0.2">
      <c r="B81" s="10">
        <v>8201</v>
      </c>
      <c r="C81" s="10" t="s">
        <v>118</v>
      </c>
      <c r="D81" s="13" t="s">
        <v>313</v>
      </c>
      <c r="E81" s="89">
        <v>1150</v>
      </c>
      <c r="F81" s="2"/>
      <c r="G81" s="2"/>
      <c r="I81" s="81">
        <v>625</v>
      </c>
      <c r="J81" s="2">
        <f t="shared" si="0"/>
        <v>687.5</v>
      </c>
      <c r="K81" s="88">
        <v>688</v>
      </c>
      <c r="N81" s="89">
        <v>760</v>
      </c>
      <c r="O81" s="88">
        <f t="shared" si="1"/>
        <v>836</v>
      </c>
      <c r="P81" s="88"/>
      <c r="Q81" s="2"/>
      <c r="R81" s="2"/>
    </row>
    <row r="82" spans="2:18" x14ac:dyDescent="0.2">
      <c r="B82" s="10">
        <v>8202</v>
      </c>
      <c r="C82" s="10" t="s">
        <v>119</v>
      </c>
      <c r="D82" s="13" t="s">
        <v>313</v>
      </c>
      <c r="E82" s="89">
        <v>743</v>
      </c>
      <c r="F82" s="2"/>
      <c r="G82" s="2"/>
      <c r="I82" s="16">
        <v>405</v>
      </c>
      <c r="J82" s="2">
        <f t="shared" si="0"/>
        <v>445.5</v>
      </c>
      <c r="K82" s="88">
        <v>446</v>
      </c>
      <c r="N82" s="97">
        <v>490</v>
      </c>
      <c r="O82" s="88">
        <f t="shared" si="1"/>
        <v>539</v>
      </c>
      <c r="P82" s="88"/>
      <c r="Q82" s="2"/>
      <c r="R82" s="2"/>
    </row>
    <row r="83" spans="2:18" x14ac:dyDescent="0.2">
      <c r="B83" s="10" t="s">
        <v>531</v>
      </c>
      <c r="C83" s="10" t="s">
        <v>532</v>
      </c>
      <c r="D83" s="13" t="s">
        <v>311</v>
      </c>
      <c r="E83" s="89">
        <v>887</v>
      </c>
      <c r="F83" s="2"/>
      <c r="G83" s="2"/>
      <c r="I83" s="16"/>
      <c r="J83" s="2"/>
      <c r="N83" s="97"/>
      <c r="O83" s="88"/>
      <c r="P83" s="88"/>
      <c r="Q83" s="2"/>
      <c r="R83" s="2"/>
    </row>
    <row r="84" spans="2:18" x14ac:dyDescent="0.2">
      <c r="B84" s="10" t="s">
        <v>533</v>
      </c>
      <c r="C84" s="10" t="s">
        <v>534</v>
      </c>
      <c r="D84" s="13" t="s">
        <v>311</v>
      </c>
      <c r="E84" s="89">
        <v>932</v>
      </c>
      <c r="F84" s="2"/>
      <c r="G84" s="2"/>
      <c r="I84" s="16"/>
      <c r="J84" s="2"/>
      <c r="N84" s="97"/>
      <c r="O84" s="88"/>
      <c r="P84" s="88"/>
      <c r="Q84" s="2"/>
      <c r="R84" s="2"/>
    </row>
    <row r="85" spans="2:18" x14ac:dyDescent="0.2">
      <c r="B85" s="10" t="s">
        <v>535</v>
      </c>
      <c r="C85" s="10" t="s">
        <v>536</v>
      </c>
      <c r="D85" s="13" t="s">
        <v>311</v>
      </c>
      <c r="E85" s="89">
        <v>1341</v>
      </c>
      <c r="F85" s="2"/>
      <c r="G85" s="2"/>
      <c r="I85" s="16"/>
      <c r="J85" s="2"/>
      <c r="N85" s="97"/>
      <c r="O85" s="88"/>
      <c r="P85" s="88"/>
      <c r="Q85" s="2"/>
      <c r="R85" s="2"/>
    </row>
    <row r="86" spans="2:18" x14ac:dyDescent="0.2">
      <c r="B86" s="10" t="s">
        <v>539</v>
      </c>
      <c r="C86" s="10" t="s">
        <v>540</v>
      </c>
      <c r="D86" s="13" t="s">
        <v>311</v>
      </c>
      <c r="E86" s="89">
        <v>1795</v>
      </c>
      <c r="F86" s="2"/>
      <c r="G86" s="2"/>
      <c r="I86" s="16"/>
      <c r="J86" s="2"/>
      <c r="N86" s="97"/>
      <c r="O86" s="88"/>
      <c r="P86" s="88"/>
      <c r="Q86" s="2"/>
      <c r="R86" s="2"/>
    </row>
    <row r="87" spans="2:18" x14ac:dyDescent="0.2">
      <c r="B87" s="10" t="s">
        <v>543</v>
      </c>
      <c r="C87" s="10" t="s">
        <v>544</v>
      </c>
      <c r="D87" s="13" t="s">
        <v>311</v>
      </c>
      <c r="E87" s="89">
        <v>1795</v>
      </c>
      <c r="F87" s="2"/>
      <c r="G87" s="2"/>
      <c r="I87" s="16"/>
      <c r="J87" s="2"/>
      <c r="N87" s="97"/>
      <c r="O87" s="88"/>
      <c r="P87" s="88"/>
      <c r="Q87" s="2"/>
      <c r="R87" s="2"/>
    </row>
    <row r="88" spans="2:18" x14ac:dyDescent="0.2">
      <c r="B88" s="10">
        <v>8204</v>
      </c>
      <c r="C88" s="10" t="s">
        <v>120</v>
      </c>
      <c r="D88" s="13" t="s">
        <v>313</v>
      </c>
      <c r="E88" s="89">
        <v>4481</v>
      </c>
      <c r="F88" s="2"/>
      <c r="G88" s="2"/>
      <c r="I88" s="81">
        <v>2445</v>
      </c>
      <c r="J88" s="2">
        <f t="shared" si="0"/>
        <v>2689.5</v>
      </c>
      <c r="K88" s="88">
        <v>2690</v>
      </c>
      <c r="N88" s="89">
        <v>2960</v>
      </c>
      <c r="O88" s="88">
        <f t="shared" si="1"/>
        <v>3256</v>
      </c>
      <c r="P88" s="88"/>
      <c r="Q88" s="2"/>
      <c r="R88" s="2"/>
    </row>
    <row r="89" spans="2:18" x14ac:dyDescent="0.2">
      <c r="B89" s="10" t="s">
        <v>528</v>
      </c>
      <c r="C89" s="10" t="s">
        <v>527</v>
      </c>
      <c r="D89" s="13" t="s">
        <v>311</v>
      </c>
      <c r="E89" s="89">
        <v>2068</v>
      </c>
      <c r="F89" s="2"/>
      <c r="G89" s="2"/>
      <c r="I89" s="16">
        <v>1610</v>
      </c>
      <c r="J89" s="2">
        <f t="shared" si="0"/>
        <v>1771</v>
      </c>
      <c r="K89" s="88">
        <v>1771</v>
      </c>
      <c r="N89" s="97">
        <v>1950</v>
      </c>
      <c r="O89" s="88">
        <f t="shared" si="1"/>
        <v>2145</v>
      </c>
      <c r="P89" s="88"/>
      <c r="Q89" s="2"/>
      <c r="R89" s="2"/>
    </row>
    <row r="90" spans="2:18" x14ac:dyDescent="0.2">
      <c r="B90" s="10" t="s">
        <v>529</v>
      </c>
      <c r="C90" s="10" t="s">
        <v>530</v>
      </c>
      <c r="D90" s="13" t="s">
        <v>311</v>
      </c>
      <c r="E90" s="89">
        <v>2169</v>
      </c>
      <c r="F90" s="2"/>
      <c r="G90" s="2"/>
      <c r="I90" s="81">
        <v>2445</v>
      </c>
      <c r="J90" s="2">
        <f t="shared" si="0"/>
        <v>2689.5</v>
      </c>
      <c r="K90" s="88">
        <v>2690</v>
      </c>
      <c r="N90" s="89">
        <v>2925</v>
      </c>
      <c r="O90" s="88">
        <f t="shared" si="1"/>
        <v>3217.5</v>
      </c>
      <c r="P90" s="88"/>
      <c r="Q90" s="2"/>
      <c r="R90" s="2"/>
    </row>
    <row r="91" spans="2:18" x14ac:dyDescent="0.2">
      <c r="B91" s="10">
        <v>8206</v>
      </c>
      <c r="C91" s="10" t="s">
        <v>537</v>
      </c>
      <c r="D91" s="13" t="s">
        <v>311</v>
      </c>
      <c r="E91" s="89">
        <v>3129</v>
      </c>
      <c r="F91" s="2"/>
      <c r="G91" s="2"/>
      <c r="I91" s="81"/>
      <c r="J91" s="2"/>
      <c r="N91" s="89"/>
      <c r="O91" s="88"/>
      <c r="P91" s="88"/>
      <c r="Q91" s="2"/>
      <c r="R91" s="2"/>
    </row>
    <row r="92" spans="2:18" x14ac:dyDescent="0.2">
      <c r="B92" s="10">
        <v>8207</v>
      </c>
      <c r="C92" s="10" t="s">
        <v>538</v>
      </c>
      <c r="D92" s="13" t="s">
        <v>311</v>
      </c>
      <c r="E92" s="89">
        <v>3129</v>
      </c>
      <c r="F92" s="2"/>
      <c r="G92" s="2"/>
      <c r="I92" s="81"/>
      <c r="J92" s="2"/>
      <c r="N92" s="89"/>
      <c r="O92" s="88"/>
      <c r="P92" s="88"/>
      <c r="Q92" s="2"/>
      <c r="R92" s="2"/>
    </row>
    <row r="93" spans="2:18" x14ac:dyDescent="0.2">
      <c r="B93" s="10">
        <v>8208</v>
      </c>
      <c r="C93" s="10" t="s">
        <v>541</v>
      </c>
      <c r="D93" s="13" t="s">
        <v>311</v>
      </c>
      <c r="E93" s="89">
        <v>4188</v>
      </c>
      <c r="F93" s="2"/>
      <c r="G93" s="2"/>
      <c r="I93" s="81"/>
      <c r="J93" s="2"/>
      <c r="N93" s="89"/>
      <c r="O93" s="88"/>
      <c r="P93" s="88"/>
      <c r="Q93" s="2"/>
      <c r="R93" s="2"/>
    </row>
    <row r="94" spans="2:18" x14ac:dyDescent="0.2">
      <c r="B94" s="10">
        <v>8211</v>
      </c>
      <c r="C94" s="10" t="s">
        <v>542</v>
      </c>
      <c r="D94" s="13" t="s">
        <v>311</v>
      </c>
      <c r="E94" s="89">
        <v>4188</v>
      </c>
      <c r="F94" s="2"/>
      <c r="G94" s="2"/>
      <c r="I94" s="81"/>
      <c r="J94" s="2"/>
      <c r="N94" s="89"/>
      <c r="O94" s="88"/>
      <c r="P94" s="88"/>
      <c r="Q94" s="2"/>
      <c r="R94" s="2"/>
    </row>
    <row r="95" spans="2:18" x14ac:dyDescent="0.2">
      <c r="B95" s="10">
        <v>8213</v>
      </c>
      <c r="C95" s="10" t="s">
        <v>122</v>
      </c>
      <c r="D95" s="13" t="s">
        <v>313</v>
      </c>
      <c r="E95" s="89">
        <v>4434</v>
      </c>
      <c r="F95" s="2"/>
      <c r="G95" s="2"/>
      <c r="I95" s="16">
        <v>1705</v>
      </c>
      <c r="J95" s="2">
        <f t="shared" si="0"/>
        <v>1875.5</v>
      </c>
      <c r="K95" s="88">
        <v>1876</v>
      </c>
      <c r="N95" s="97">
        <v>2060</v>
      </c>
      <c r="O95" s="88">
        <f t="shared" ref="O95:O158" si="2">N95+(N95*0.1)</f>
        <v>2266</v>
      </c>
      <c r="P95" s="88"/>
      <c r="Q95" s="2"/>
      <c r="R95" s="2"/>
    </row>
    <row r="96" spans="2:18" x14ac:dyDescent="0.2">
      <c r="B96" s="10">
        <v>8214</v>
      </c>
      <c r="C96" s="10" t="s">
        <v>123</v>
      </c>
      <c r="D96" s="13" t="s">
        <v>313</v>
      </c>
      <c r="E96" s="89">
        <v>3118</v>
      </c>
      <c r="F96" s="2"/>
      <c r="G96" s="2"/>
      <c r="I96" s="81">
        <v>475</v>
      </c>
      <c r="J96" s="2">
        <f t="shared" si="0"/>
        <v>522.5</v>
      </c>
      <c r="K96" s="88">
        <v>523</v>
      </c>
      <c r="N96" s="89">
        <v>570</v>
      </c>
      <c r="O96" s="88">
        <f t="shared" si="2"/>
        <v>627</v>
      </c>
      <c r="P96" s="88"/>
      <c r="Q96" s="2"/>
      <c r="R96" s="2"/>
    </row>
    <row r="97" spans="2:18" x14ac:dyDescent="0.2">
      <c r="B97" s="10">
        <v>8222</v>
      </c>
      <c r="C97" s="10" t="s">
        <v>124</v>
      </c>
      <c r="D97" s="13" t="s">
        <v>316</v>
      </c>
      <c r="E97" s="89">
        <v>861</v>
      </c>
      <c r="F97" s="2"/>
      <c r="G97" s="2"/>
      <c r="I97" s="16">
        <v>13255</v>
      </c>
      <c r="J97" s="2">
        <f t="shared" si="0"/>
        <v>14580.5</v>
      </c>
      <c r="K97" s="88">
        <v>14581</v>
      </c>
      <c r="N97" s="97">
        <v>16040</v>
      </c>
      <c r="O97" s="88">
        <f t="shared" si="2"/>
        <v>17644</v>
      </c>
      <c r="P97" s="88"/>
      <c r="Q97" s="2"/>
      <c r="R97" s="2"/>
    </row>
    <row r="98" spans="2:18" x14ac:dyDescent="0.2">
      <c r="B98" s="185">
        <v>8231</v>
      </c>
      <c r="C98" s="185" t="s">
        <v>125</v>
      </c>
      <c r="D98" s="186" t="s">
        <v>313</v>
      </c>
      <c r="E98" s="187">
        <v>24296</v>
      </c>
      <c r="F98" s="2"/>
      <c r="G98" s="2"/>
      <c r="I98" s="81">
        <v>9310</v>
      </c>
      <c r="J98" s="2">
        <f t="shared" si="0"/>
        <v>10241</v>
      </c>
      <c r="K98" s="88">
        <v>10241</v>
      </c>
      <c r="N98" s="89">
        <v>11265</v>
      </c>
      <c r="O98" s="88">
        <f t="shared" si="2"/>
        <v>12391.5</v>
      </c>
      <c r="P98" s="88"/>
      <c r="Q98" s="2"/>
      <c r="R98" s="2"/>
    </row>
    <row r="99" spans="2:18" x14ac:dyDescent="0.2">
      <c r="B99" s="10">
        <v>8232</v>
      </c>
      <c r="C99" s="10" t="s">
        <v>126</v>
      </c>
      <c r="D99" s="13" t="s">
        <v>313</v>
      </c>
      <c r="E99" s="89">
        <v>17060</v>
      </c>
      <c r="F99" s="2"/>
      <c r="G99" s="2"/>
      <c r="I99" s="16">
        <v>2915</v>
      </c>
      <c r="J99" s="2">
        <f t="shared" si="0"/>
        <v>3206.5</v>
      </c>
      <c r="K99" s="88">
        <v>3207</v>
      </c>
      <c r="N99" s="97">
        <v>3525</v>
      </c>
      <c r="O99" s="88">
        <f t="shared" si="2"/>
        <v>3877.5</v>
      </c>
      <c r="P99" s="88"/>
      <c r="Q99" s="2"/>
      <c r="R99" s="2"/>
    </row>
    <row r="100" spans="2:18" x14ac:dyDescent="0.2">
      <c r="B100" s="10">
        <v>8233</v>
      </c>
      <c r="C100" s="10" t="s">
        <v>127</v>
      </c>
      <c r="D100" s="13" t="s">
        <v>313</v>
      </c>
      <c r="E100" s="89">
        <v>5336</v>
      </c>
      <c r="F100" s="2"/>
      <c r="G100" s="2"/>
      <c r="I100" s="81">
        <v>2915</v>
      </c>
      <c r="J100" s="2">
        <f t="shared" ref="J100:J165" si="3">I100+(I100*0.1)</f>
        <v>3206.5</v>
      </c>
      <c r="K100" s="88">
        <v>3207</v>
      </c>
      <c r="N100" s="89">
        <v>3525</v>
      </c>
      <c r="O100" s="88">
        <f t="shared" si="2"/>
        <v>3877.5</v>
      </c>
      <c r="P100" s="88"/>
      <c r="Q100" s="2"/>
      <c r="R100" s="2"/>
    </row>
    <row r="101" spans="2:18" x14ac:dyDescent="0.2">
      <c r="B101" s="10">
        <v>8234</v>
      </c>
      <c r="C101" s="10" t="s">
        <v>128</v>
      </c>
      <c r="D101" s="13" t="s">
        <v>313</v>
      </c>
      <c r="E101" s="89">
        <v>5336</v>
      </c>
      <c r="F101" s="2"/>
      <c r="G101" s="2"/>
      <c r="I101" s="16">
        <v>4395</v>
      </c>
      <c r="J101" s="2">
        <f t="shared" si="3"/>
        <v>4834.5</v>
      </c>
      <c r="K101" s="88">
        <v>4835</v>
      </c>
      <c r="N101" s="97">
        <v>5320</v>
      </c>
      <c r="O101" s="88">
        <f t="shared" si="2"/>
        <v>5852</v>
      </c>
      <c r="P101" s="88"/>
      <c r="Q101" s="2"/>
      <c r="R101" s="2"/>
    </row>
    <row r="102" spans="2:18" x14ac:dyDescent="0.2">
      <c r="B102" s="10">
        <v>8235</v>
      </c>
      <c r="C102" s="10" t="s">
        <v>129</v>
      </c>
      <c r="D102" s="13" t="s">
        <v>313</v>
      </c>
      <c r="E102" s="89">
        <v>8055</v>
      </c>
      <c r="F102" s="2"/>
      <c r="G102" s="2"/>
      <c r="I102" s="81">
        <v>4395</v>
      </c>
      <c r="J102" s="2">
        <f t="shared" si="3"/>
        <v>4834.5</v>
      </c>
      <c r="K102" s="88">
        <v>4835</v>
      </c>
      <c r="N102" s="89">
        <v>5320</v>
      </c>
      <c r="O102" s="88">
        <f t="shared" si="2"/>
        <v>5852</v>
      </c>
      <c r="P102" s="88"/>
      <c r="Q102" s="2"/>
      <c r="R102" s="2"/>
    </row>
    <row r="103" spans="2:18" x14ac:dyDescent="0.2">
      <c r="B103" s="10">
        <v>8236</v>
      </c>
      <c r="C103" s="10" t="s">
        <v>130</v>
      </c>
      <c r="D103" s="13" t="s">
        <v>313</v>
      </c>
      <c r="E103" s="89">
        <v>8055</v>
      </c>
      <c r="F103" s="2"/>
      <c r="G103" s="2"/>
      <c r="I103" s="16">
        <v>4395</v>
      </c>
      <c r="J103" s="2">
        <f t="shared" si="3"/>
        <v>4834.5</v>
      </c>
      <c r="K103" s="88">
        <v>4835</v>
      </c>
      <c r="N103" s="97">
        <v>5320</v>
      </c>
      <c r="O103" s="88">
        <f t="shared" si="2"/>
        <v>5852</v>
      </c>
      <c r="P103" s="88"/>
      <c r="Q103" s="2"/>
      <c r="R103" s="2"/>
    </row>
    <row r="104" spans="2:18" x14ac:dyDescent="0.2">
      <c r="B104" s="10">
        <v>8237</v>
      </c>
      <c r="C104" s="10" t="s">
        <v>131</v>
      </c>
      <c r="D104" s="13" t="s">
        <v>313</v>
      </c>
      <c r="E104" s="89">
        <v>8055</v>
      </c>
      <c r="F104" s="2"/>
      <c r="G104" s="2"/>
      <c r="I104" s="81">
        <v>5870</v>
      </c>
      <c r="J104" s="2">
        <f t="shared" si="3"/>
        <v>6457</v>
      </c>
      <c r="K104" s="88">
        <v>6457</v>
      </c>
      <c r="N104" s="89">
        <v>7100</v>
      </c>
      <c r="O104" s="88">
        <f t="shared" si="2"/>
        <v>7810</v>
      </c>
      <c r="P104" s="88"/>
      <c r="Q104" s="2"/>
      <c r="R104" s="2"/>
    </row>
    <row r="105" spans="2:18" x14ac:dyDescent="0.2">
      <c r="B105" s="10">
        <v>8238</v>
      </c>
      <c r="C105" s="10" t="s">
        <v>132</v>
      </c>
      <c r="D105" s="13" t="s">
        <v>313</v>
      </c>
      <c r="E105" s="89">
        <v>8055</v>
      </c>
      <c r="F105" s="2"/>
      <c r="G105" s="2"/>
      <c r="I105" s="16">
        <v>5870</v>
      </c>
      <c r="J105" s="2">
        <f t="shared" si="3"/>
        <v>6457</v>
      </c>
      <c r="K105" s="88">
        <v>6457</v>
      </c>
      <c r="N105" s="97">
        <v>7100</v>
      </c>
      <c r="O105" s="88">
        <f t="shared" si="2"/>
        <v>7810</v>
      </c>
      <c r="P105" s="88"/>
      <c r="Q105" s="2"/>
      <c r="R105" s="2"/>
    </row>
    <row r="106" spans="2:18" x14ac:dyDescent="0.2">
      <c r="B106" s="10">
        <v>8239</v>
      </c>
      <c r="C106" s="10" t="s">
        <v>133</v>
      </c>
      <c r="D106" s="13" t="s">
        <v>313</v>
      </c>
      <c r="E106" s="89">
        <v>10754</v>
      </c>
      <c r="F106" s="2"/>
      <c r="G106" s="2"/>
      <c r="I106" s="81">
        <v>5870</v>
      </c>
      <c r="J106" s="2">
        <f t="shared" si="3"/>
        <v>6457</v>
      </c>
      <c r="K106" s="88">
        <v>6457</v>
      </c>
      <c r="N106" s="89">
        <v>7100</v>
      </c>
      <c r="O106" s="88">
        <f t="shared" si="2"/>
        <v>7810</v>
      </c>
      <c r="P106" s="88"/>
      <c r="Q106" s="2"/>
      <c r="R106" s="2"/>
    </row>
    <row r="107" spans="2:18" x14ac:dyDescent="0.2">
      <c r="B107" s="10">
        <v>8240</v>
      </c>
      <c r="C107" s="10" t="s">
        <v>134</v>
      </c>
      <c r="D107" s="13" t="s">
        <v>313</v>
      </c>
      <c r="E107" s="89">
        <v>10754</v>
      </c>
      <c r="F107" s="2"/>
      <c r="G107" s="2"/>
      <c r="I107" s="16">
        <v>5870</v>
      </c>
      <c r="J107" s="2">
        <f t="shared" si="3"/>
        <v>6457</v>
      </c>
      <c r="K107" s="88">
        <v>6457</v>
      </c>
      <c r="N107" s="97">
        <v>7100</v>
      </c>
      <c r="O107" s="88">
        <f t="shared" si="2"/>
        <v>7810</v>
      </c>
      <c r="P107" s="88"/>
      <c r="Q107" s="2"/>
      <c r="R107" s="2"/>
    </row>
    <row r="108" spans="2:18" x14ac:dyDescent="0.2">
      <c r="B108" s="10">
        <v>8241</v>
      </c>
      <c r="C108" s="10" t="s">
        <v>135</v>
      </c>
      <c r="D108" s="13" t="s">
        <v>313</v>
      </c>
      <c r="E108" s="89">
        <v>10754</v>
      </c>
      <c r="F108" s="2"/>
      <c r="G108" s="2"/>
      <c r="I108" s="81">
        <v>9310</v>
      </c>
      <c r="J108" s="2">
        <f t="shared" si="3"/>
        <v>10241</v>
      </c>
      <c r="K108" s="88">
        <v>10241</v>
      </c>
      <c r="N108" s="89">
        <v>11265</v>
      </c>
      <c r="O108" s="88">
        <f t="shared" si="2"/>
        <v>12391.5</v>
      </c>
      <c r="P108" s="88"/>
      <c r="Q108" s="2"/>
      <c r="R108" s="2"/>
    </row>
    <row r="109" spans="2:18" x14ac:dyDescent="0.2">
      <c r="B109" s="10">
        <v>8244</v>
      </c>
      <c r="C109" s="10" t="s">
        <v>136</v>
      </c>
      <c r="D109" s="13" t="s">
        <v>313</v>
      </c>
      <c r="E109" s="89">
        <v>17060</v>
      </c>
      <c r="F109" s="2"/>
      <c r="G109" s="2"/>
      <c r="I109" s="16">
        <v>9310</v>
      </c>
      <c r="J109" s="2">
        <f t="shared" si="3"/>
        <v>10241</v>
      </c>
      <c r="K109" s="88">
        <v>10241</v>
      </c>
      <c r="N109" s="97">
        <v>11265</v>
      </c>
      <c r="O109" s="88">
        <f t="shared" si="2"/>
        <v>12391.5</v>
      </c>
      <c r="P109" s="88"/>
      <c r="Q109" s="2"/>
      <c r="R109" s="2"/>
    </row>
    <row r="110" spans="2:18" x14ac:dyDescent="0.2">
      <c r="B110" s="10">
        <v>8245</v>
      </c>
      <c r="C110" s="10" t="s">
        <v>137</v>
      </c>
      <c r="D110" s="13" t="s">
        <v>313</v>
      </c>
      <c r="E110" s="89">
        <v>17060</v>
      </c>
      <c r="F110" s="2"/>
      <c r="G110" s="2"/>
      <c r="I110" s="81">
        <v>6050</v>
      </c>
      <c r="J110" s="2">
        <f t="shared" si="3"/>
        <v>6655</v>
      </c>
      <c r="K110" s="88">
        <v>6655</v>
      </c>
      <c r="N110" s="89">
        <v>7320</v>
      </c>
      <c r="O110" s="88">
        <f t="shared" si="2"/>
        <v>8052</v>
      </c>
      <c r="P110" s="88"/>
      <c r="Q110" s="2"/>
      <c r="R110" s="2"/>
    </row>
    <row r="111" spans="2:18" x14ac:dyDescent="0.2">
      <c r="B111" s="10">
        <v>8246</v>
      </c>
      <c r="C111" s="10" t="s">
        <v>138</v>
      </c>
      <c r="D111" s="13" t="s">
        <v>313</v>
      </c>
      <c r="E111" s="89">
        <v>11054</v>
      </c>
      <c r="F111" s="2"/>
      <c r="G111" s="2"/>
      <c r="I111" s="16">
        <v>495</v>
      </c>
      <c r="J111" s="2">
        <f t="shared" si="3"/>
        <v>544.5</v>
      </c>
      <c r="K111" s="88">
        <v>545</v>
      </c>
      <c r="N111" s="97">
        <v>600</v>
      </c>
      <c r="O111" s="88">
        <f t="shared" si="2"/>
        <v>660</v>
      </c>
      <c r="P111" s="88"/>
      <c r="Q111" s="2"/>
      <c r="R111" s="2"/>
    </row>
    <row r="112" spans="2:18" x14ac:dyDescent="0.2">
      <c r="B112" s="10">
        <v>8255</v>
      </c>
      <c r="C112" s="10" t="s">
        <v>139</v>
      </c>
      <c r="D112" s="13" t="s">
        <v>313</v>
      </c>
      <c r="E112" s="89">
        <v>909</v>
      </c>
      <c r="F112" s="2"/>
      <c r="G112" s="2"/>
      <c r="I112" s="81">
        <v>2410</v>
      </c>
      <c r="J112" s="2">
        <f t="shared" si="3"/>
        <v>2651</v>
      </c>
      <c r="K112" s="88">
        <v>2651</v>
      </c>
      <c r="N112" s="89">
        <v>2915</v>
      </c>
      <c r="O112" s="88">
        <f t="shared" si="2"/>
        <v>3206.5</v>
      </c>
      <c r="P112" s="88"/>
      <c r="Q112" s="2"/>
      <c r="R112" s="2"/>
    </row>
    <row r="113" spans="2:18" x14ac:dyDescent="0.2">
      <c r="B113" s="10">
        <v>8259</v>
      </c>
      <c r="C113" s="10" t="s">
        <v>140</v>
      </c>
      <c r="D113" s="13" t="s">
        <v>313</v>
      </c>
      <c r="E113" s="89">
        <v>4413</v>
      </c>
      <c r="F113" s="2"/>
      <c r="G113" s="2"/>
      <c r="I113" s="16">
        <v>1520</v>
      </c>
      <c r="J113" s="2">
        <f t="shared" si="3"/>
        <v>1672</v>
      </c>
      <c r="K113" s="88">
        <v>1672</v>
      </c>
      <c r="N113" s="97">
        <v>1835</v>
      </c>
      <c r="O113" s="88">
        <f t="shared" si="2"/>
        <v>2018.5</v>
      </c>
      <c r="P113" s="88"/>
      <c r="Q113" s="2"/>
      <c r="R113" s="2"/>
    </row>
    <row r="114" spans="2:18" x14ac:dyDescent="0.2">
      <c r="B114" s="10">
        <v>8263</v>
      </c>
      <c r="C114" s="10" t="s">
        <v>141</v>
      </c>
      <c r="D114" s="13" t="s">
        <v>313</v>
      </c>
      <c r="E114" s="89">
        <v>2782</v>
      </c>
      <c r="F114" s="2"/>
      <c r="G114" s="2"/>
      <c r="I114" s="81">
        <v>3520</v>
      </c>
      <c r="J114" s="2">
        <f t="shared" si="3"/>
        <v>3872</v>
      </c>
      <c r="K114" s="88">
        <v>3872</v>
      </c>
      <c r="N114" s="89">
        <v>4255</v>
      </c>
      <c r="O114" s="88">
        <f t="shared" si="2"/>
        <v>4680.5</v>
      </c>
      <c r="P114" s="88"/>
      <c r="Q114" s="2"/>
      <c r="R114" s="2"/>
    </row>
    <row r="115" spans="2:18" x14ac:dyDescent="0.2">
      <c r="B115" s="10">
        <v>8267</v>
      </c>
      <c r="C115" s="10" t="s">
        <v>142</v>
      </c>
      <c r="D115" s="13" t="s">
        <v>313</v>
      </c>
      <c r="E115" s="89">
        <v>6444</v>
      </c>
      <c r="F115" s="2"/>
      <c r="G115" s="2"/>
      <c r="I115" s="16">
        <v>815</v>
      </c>
      <c r="J115" s="2">
        <f t="shared" si="3"/>
        <v>896.5</v>
      </c>
      <c r="K115" s="88">
        <v>897</v>
      </c>
      <c r="N115" s="97">
        <v>985</v>
      </c>
      <c r="O115" s="88">
        <f t="shared" si="2"/>
        <v>1083.5</v>
      </c>
      <c r="P115" s="88"/>
      <c r="Q115" s="2"/>
      <c r="R115" s="2"/>
    </row>
    <row r="116" spans="2:18" x14ac:dyDescent="0.2">
      <c r="B116" s="10">
        <v>8269</v>
      </c>
      <c r="C116" s="10" t="s">
        <v>143</v>
      </c>
      <c r="D116" s="13" t="s">
        <v>313</v>
      </c>
      <c r="E116" s="89">
        <v>1494</v>
      </c>
      <c r="F116" s="2"/>
      <c r="G116" s="2"/>
      <c r="I116" s="81">
        <v>545</v>
      </c>
      <c r="J116" s="2">
        <f t="shared" si="3"/>
        <v>599.5</v>
      </c>
      <c r="K116" s="88">
        <v>600</v>
      </c>
      <c r="N116" s="89">
        <v>660</v>
      </c>
      <c r="O116" s="88">
        <f t="shared" si="2"/>
        <v>726</v>
      </c>
      <c r="P116" s="88"/>
      <c r="Q116" s="2"/>
      <c r="R116" s="2"/>
    </row>
    <row r="117" spans="2:18" x14ac:dyDescent="0.2">
      <c r="B117" s="10">
        <v>8270</v>
      </c>
      <c r="C117" s="10" t="s">
        <v>144</v>
      </c>
      <c r="D117" s="13" t="s">
        <v>313</v>
      </c>
      <c r="E117" s="89">
        <v>998</v>
      </c>
      <c r="F117" s="2"/>
      <c r="G117" s="2"/>
      <c r="I117" s="16">
        <v>545</v>
      </c>
      <c r="J117" s="2">
        <f t="shared" si="3"/>
        <v>599.5</v>
      </c>
      <c r="K117" s="88">
        <v>600</v>
      </c>
      <c r="N117" s="97">
        <v>660</v>
      </c>
      <c r="O117" s="88">
        <f t="shared" si="2"/>
        <v>726</v>
      </c>
      <c r="P117" s="88"/>
      <c r="Q117" s="2"/>
      <c r="R117" s="2"/>
    </row>
    <row r="118" spans="2:18" x14ac:dyDescent="0.2">
      <c r="B118" s="10">
        <v>8271</v>
      </c>
      <c r="C118" s="10" t="s">
        <v>145</v>
      </c>
      <c r="D118" s="13" t="s">
        <v>313</v>
      </c>
      <c r="E118" s="89">
        <v>998</v>
      </c>
      <c r="F118" s="2"/>
      <c r="G118" s="2"/>
      <c r="I118" s="81">
        <v>475</v>
      </c>
      <c r="J118" s="2">
        <f t="shared" si="3"/>
        <v>522.5</v>
      </c>
      <c r="K118" s="88">
        <v>523</v>
      </c>
      <c r="N118" s="89">
        <v>580</v>
      </c>
      <c r="O118" s="88">
        <f t="shared" si="2"/>
        <v>638</v>
      </c>
      <c r="P118" s="88"/>
      <c r="Q118" s="2"/>
      <c r="R118" s="2"/>
    </row>
    <row r="119" spans="2:18" x14ac:dyDescent="0.2">
      <c r="B119" s="10">
        <v>8273</v>
      </c>
      <c r="C119" s="10" t="s">
        <v>146</v>
      </c>
      <c r="D119" s="13" t="s">
        <v>313</v>
      </c>
      <c r="E119" s="89">
        <v>881</v>
      </c>
      <c r="F119" s="2"/>
      <c r="G119" s="2"/>
      <c r="I119" s="16">
        <v>475</v>
      </c>
      <c r="J119" s="2">
        <f t="shared" si="3"/>
        <v>522.5</v>
      </c>
      <c r="K119" s="88">
        <v>523</v>
      </c>
      <c r="N119" s="97">
        <v>580</v>
      </c>
      <c r="O119" s="88">
        <f t="shared" si="2"/>
        <v>638</v>
      </c>
      <c r="P119" s="88"/>
      <c r="Q119" s="2"/>
      <c r="R119" s="2"/>
    </row>
    <row r="120" spans="2:18" x14ac:dyDescent="0.2">
      <c r="B120" s="10">
        <v>8275</v>
      </c>
      <c r="C120" s="10" t="s">
        <v>147</v>
      </c>
      <c r="D120" s="13" t="s">
        <v>313</v>
      </c>
      <c r="E120" s="89">
        <v>881</v>
      </c>
      <c r="F120" s="2"/>
      <c r="G120" s="2"/>
      <c r="I120" s="81">
        <v>4950</v>
      </c>
      <c r="J120" s="2">
        <f t="shared" si="3"/>
        <v>5445</v>
      </c>
      <c r="K120" s="88">
        <v>5445</v>
      </c>
      <c r="N120" s="89">
        <v>59990</v>
      </c>
      <c r="O120" s="88">
        <f t="shared" si="2"/>
        <v>65989</v>
      </c>
      <c r="P120" s="88"/>
      <c r="Q120" s="2"/>
      <c r="R120" s="2"/>
    </row>
    <row r="121" spans="2:18" x14ac:dyDescent="0.2">
      <c r="B121" s="10">
        <v>8281</v>
      </c>
      <c r="C121" s="10" t="s">
        <v>148</v>
      </c>
      <c r="D121" s="13" t="s">
        <v>313</v>
      </c>
      <c r="E121" s="89">
        <v>9074</v>
      </c>
      <c r="F121" s="2"/>
      <c r="G121" s="2"/>
      <c r="I121" s="16">
        <v>4455</v>
      </c>
      <c r="J121" s="2">
        <f t="shared" si="3"/>
        <v>4900.5</v>
      </c>
      <c r="K121" s="88">
        <v>4901</v>
      </c>
      <c r="N121" s="97">
        <v>5390</v>
      </c>
      <c r="O121" s="88">
        <f t="shared" si="2"/>
        <v>5929</v>
      </c>
      <c r="P121" s="88"/>
      <c r="Q121" s="2"/>
      <c r="R121" s="2"/>
    </row>
    <row r="122" spans="2:18" x14ac:dyDescent="0.2">
      <c r="B122" s="10">
        <v>8283</v>
      </c>
      <c r="C122" s="10" t="s">
        <v>149</v>
      </c>
      <c r="D122" s="13" t="s">
        <v>313</v>
      </c>
      <c r="E122" s="89">
        <v>8165</v>
      </c>
      <c r="F122" s="2"/>
      <c r="G122" s="2"/>
      <c r="I122" s="81">
        <v>4950</v>
      </c>
      <c r="J122" s="2">
        <f t="shared" si="3"/>
        <v>5445</v>
      </c>
      <c r="K122" s="88">
        <v>5445</v>
      </c>
      <c r="N122" s="89">
        <v>5990</v>
      </c>
      <c r="O122" s="88">
        <f t="shared" si="2"/>
        <v>6589</v>
      </c>
      <c r="P122" s="88"/>
      <c r="Q122" s="2"/>
      <c r="R122" s="2"/>
    </row>
    <row r="123" spans="2:18" x14ac:dyDescent="0.2">
      <c r="B123" s="10">
        <v>8284</v>
      </c>
      <c r="C123" s="10" t="s">
        <v>150</v>
      </c>
      <c r="D123" s="13" t="s">
        <v>313</v>
      </c>
      <c r="E123" s="89">
        <v>9074</v>
      </c>
      <c r="F123" s="2"/>
      <c r="G123" s="2"/>
      <c r="I123" s="16">
        <v>845</v>
      </c>
      <c r="J123" s="2">
        <f t="shared" si="3"/>
        <v>929.5</v>
      </c>
      <c r="K123" s="88">
        <v>930</v>
      </c>
      <c r="N123" s="97">
        <v>1025</v>
      </c>
      <c r="O123" s="88">
        <f t="shared" si="2"/>
        <v>1127.5</v>
      </c>
      <c r="P123" s="88"/>
      <c r="Q123" s="2"/>
      <c r="R123" s="2"/>
    </row>
    <row r="124" spans="2:18" x14ac:dyDescent="0.2">
      <c r="B124" s="10">
        <v>8301</v>
      </c>
      <c r="C124" s="10" t="s">
        <v>151</v>
      </c>
      <c r="D124" s="13" t="s">
        <v>316</v>
      </c>
      <c r="E124" s="89">
        <v>1549</v>
      </c>
      <c r="F124" s="2"/>
      <c r="G124" s="2"/>
      <c r="I124" s="81">
        <v>75</v>
      </c>
      <c r="J124" s="2">
        <f t="shared" si="3"/>
        <v>82.5</v>
      </c>
      <c r="K124" s="88">
        <v>83</v>
      </c>
      <c r="N124" s="89">
        <v>1025</v>
      </c>
      <c r="O124" s="88">
        <f t="shared" si="2"/>
        <v>1127.5</v>
      </c>
      <c r="P124" s="88"/>
      <c r="Q124" s="2"/>
      <c r="R124" s="2"/>
    </row>
    <row r="125" spans="2:18" x14ac:dyDescent="0.2">
      <c r="B125" s="10">
        <v>8303</v>
      </c>
      <c r="C125" s="10" t="s">
        <v>152</v>
      </c>
      <c r="D125" s="13" t="s">
        <v>314</v>
      </c>
      <c r="E125" s="89">
        <v>1549</v>
      </c>
      <c r="F125" s="2"/>
      <c r="G125" s="2"/>
      <c r="I125" s="16">
        <v>510</v>
      </c>
      <c r="J125" s="2">
        <f t="shared" si="3"/>
        <v>561</v>
      </c>
      <c r="K125" s="88">
        <v>561</v>
      </c>
      <c r="N125" s="97">
        <v>615</v>
      </c>
      <c r="O125" s="88">
        <f t="shared" si="2"/>
        <v>676.5</v>
      </c>
      <c r="P125" s="88"/>
      <c r="Q125" s="2"/>
      <c r="R125" s="2"/>
    </row>
    <row r="126" spans="2:18" x14ac:dyDescent="0.2">
      <c r="B126" s="10">
        <v>8304</v>
      </c>
      <c r="C126" s="10" t="s">
        <v>153</v>
      </c>
      <c r="D126" s="13" t="s">
        <v>316</v>
      </c>
      <c r="E126" s="89">
        <v>929</v>
      </c>
      <c r="F126" s="2"/>
      <c r="G126" s="2"/>
      <c r="I126" s="81">
        <v>220</v>
      </c>
      <c r="J126" s="2">
        <f t="shared" si="3"/>
        <v>242</v>
      </c>
      <c r="K126" s="88">
        <v>242</v>
      </c>
      <c r="N126" s="89">
        <v>615</v>
      </c>
      <c r="O126" s="88">
        <f t="shared" si="2"/>
        <v>676.5</v>
      </c>
      <c r="P126" s="88"/>
      <c r="Q126" s="2"/>
      <c r="R126" s="2"/>
    </row>
    <row r="127" spans="2:18" x14ac:dyDescent="0.2">
      <c r="B127" s="11" t="s">
        <v>57</v>
      </c>
      <c r="C127" s="10" t="s">
        <v>154</v>
      </c>
      <c r="D127" s="13" t="s">
        <v>314</v>
      </c>
      <c r="E127" s="89">
        <v>929</v>
      </c>
      <c r="F127" s="2"/>
      <c r="G127" s="2"/>
      <c r="I127" s="16">
        <v>475</v>
      </c>
      <c r="J127" s="2">
        <f t="shared" si="3"/>
        <v>522.5</v>
      </c>
      <c r="K127" s="88">
        <v>523</v>
      </c>
      <c r="N127" s="97">
        <v>580</v>
      </c>
      <c r="O127" s="88">
        <f t="shared" si="2"/>
        <v>638</v>
      </c>
      <c r="P127" s="88"/>
      <c r="Q127" s="2"/>
      <c r="R127" s="2"/>
    </row>
    <row r="128" spans="2:18" x14ac:dyDescent="0.2">
      <c r="B128" s="11" t="s">
        <v>58</v>
      </c>
      <c r="C128" s="10" t="s">
        <v>155</v>
      </c>
      <c r="D128" s="13" t="s">
        <v>316</v>
      </c>
      <c r="E128" s="89">
        <v>881</v>
      </c>
      <c r="F128" s="2"/>
      <c r="G128" s="2"/>
      <c r="I128" s="81">
        <v>820</v>
      </c>
      <c r="J128" s="2">
        <f t="shared" si="3"/>
        <v>902</v>
      </c>
      <c r="K128" s="88">
        <v>902</v>
      </c>
      <c r="N128" s="89">
        <v>990</v>
      </c>
      <c r="O128" s="88">
        <f t="shared" si="2"/>
        <v>1089</v>
      </c>
      <c r="P128" s="88"/>
      <c r="Q128" s="2"/>
      <c r="R128" s="2"/>
    </row>
    <row r="129" spans="2:18" x14ac:dyDescent="0.2">
      <c r="B129" s="10">
        <v>8307</v>
      </c>
      <c r="C129" s="10" t="s">
        <v>156</v>
      </c>
      <c r="D129" s="13" t="s">
        <v>314</v>
      </c>
      <c r="E129" s="89">
        <v>1501</v>
      </c>
      <c r="F129" s="2"/>
      <c r="G129" s="2"/>
      <c r="I129" s="17"/>
      <c r="J129" s="2">
        <f t="shared" si="3"/>
        <v>0</v>
      </c>
      <c r="N129" s="97"/>
      <c r="O129" s="88">
        <f t="shared" si="2"/>
        <v>0</v>
      </c>
      <c r="P129" s="88"/>
      <c r="Q129" s="2"/>
      <c r="R129" s="2"/>
    </row>
    <row r="130" spans="2:18" x14ac:dyDescent="0.2">
      <c r="B130" s="10">
        <v>8308</v>
      </c>
      <c r="C130" s="10" t="s">
        <v>157</v>
      </c>
      <c r="D130" s="13" t="s">
        <v>312</v>
      </c>
      <c r="E130" s="89">
        <v>6431</v>
      </c>
      <c r="F130" s="2"/>
      <c r="G130" s="2"/>
      <c r="I130" s="82">
        <v>4030</v>
      </c>
      <c r="J130" s="2">
        <f t="shared" si="3"/>
        <v>4433</v>
      </c>
      <c r="K130" s="88">
        <v>4433</v>
      </c>
      <c r="N130" s="89">
        <v>4235</v>
      </c>
      <c r="O130" s="88">
        <f t="shared" si="2"/>
        <v>4658.5</v>
      </c>
      <c r="P130" s="88"/>
      <c r="Q130" s="2"/>
      <c r="R130" s="2"/>
    </row>
    <row r="131" spans="2:18" x14ac:dyDescent="0.2">
      <c r="B131" s="10">
        <v>8309</v>
      </c>
      <c r="C131" s="10" t="s">
        <v>158</v>
      </c>
      <c r="D131" s="13" t="s">
        <v>312</v>
      </c>
      <c r="E131" s="89">
        <v>6431</v>
      </c>
      <c r="F131" s="2"/>
      <c r="G131" s="2"/>
      <c r="I131" s="82"/>
      <c r="J131" s="2"/>
      <c r="N131" s="95">
        <v>6600</v>
      </c>
      <c r="O131" s="88">
        <f t="shared" si="2"/>
        <v>7260</v>
      </c>
      <c r="P131" s="88"/>
      <c r="Q131" s="2"/>
      <c r="R131" s="2"/>
    </row>
    <row r="132" spans="2:18" x14ac:dyDescent="0.2">
      <c r="B132" s="10" t="s">
        <v>372</v>
      </c>
      <c r="C132" s="10" t="s">
        <v>373</v>
      </c>
      <c r="D132" s="13" t="s">
        <v>312</v>
      </c>
      <c r="E132" s="89">
        <v>6431</v>
      </c>
      <c r="F132" s="2"/>
      <c r="G132" s="2"/>
      <c r="I132" s="82"/>
      <c r="J132" s="2"/>
      <c r="N132" s="95">
        <v>3800</v>
      </c>
      <c r="O132" s="88">
        <f t="shared" si="2"/>
        <v>4180</v>
      </c>
      <c r="P132" s="88"/>
      <c r="Q132" s="2"/>
      <c r="R132" s="2"/>
    </row>
    <row r="133" spans="2:18" x14ac:dyDescent="0.2">
      <c r="B133" s="10" t="s">
        <v>374</v>
      </c>
      <c r="C133" s="10" t="s">
        <v>375</v>
      </c>
      <c r="D133" s="13" t="s">
        <v>312</v>
      </c>
      <c r="E133" s="90">
        <v>6431</v>
      </c>
      <c r="F133" s="2"/>
      <c r="G133" s="2"/>
      <c r="I133" s="16">
        <v>215</v>
      </c>
      <c r="J133" s="2">
        <f t="shared" si="3"/>
        <v>236.5</v>
      </c>
      <c r="K133" s="88">
        <v>237</v>
      </c>
      <c r="N133" s="97">
        <v>260</v>
      </c>
      <c r="O133" s="88">
        <f t="shared" si="2"/>
        <v>286</v>
      </c>
      <c r="P133" s="88"/>
      <c r="Q133" s="2"/>
      <c r="R133" s="2"/>
    </row>
    <row r="134" spans="2:18" x14ac:dyDescent="0.2">
      <c r="B134" s="10">
        <v>8310</v>
      </c>
      <c r="C134" s="10" t="s">
        <v>159</v>
      </c>
      <c r="D134" s="13" t="s">
        <v>312</v>
      </c>
      <c r="E134" s="90">
        <v>393</v>
      </c>
      <c r="F134" s="2"/>
      <c r="G134" s="2"/>
      <c r="I134" s="81">
        <v>875</v>
      </c>
      <c r="J134" s="2">
        <f t="shared" si="3"/>
        <v>962.5</v>
      </c>
      <c r="K134" s="88">
        <v>963</v>
      </c>
      <c r="N134" s="89">
        <v>1055</v>
      </c>
      <c r="O134" s="88">
        <f t="shared" si="2"/>
        <v>1160.5</v>
      </c>
      <c r="P134" s="88"/>
      <c r="Q134" s="2"/>
      <c r="R134" s="2"/>
    </row>
    <row r="135" spans="2:18" x14ac:dyDescent="0.2">
      <c r="B135" s="10">
        <v>8318</v>
      </c>
      <c r="C135" s="10" t="s">
        <v>160</v>
      </c>
      <c r="D135" s="13" t="s">
        <v>314</v>
      </c>
      <c r="E135" s="89">
        <v>1597</v>
      </c>
      <c r="F135" s="2"/>
      <c r="G135" s="2"/>
      <c r="I135" s="16">
        <v>1610</v>
      </c>
      <c r="J135" s="2">
        <f t="shared" si="3"/>
        <v>1771</v>
      </c>
      <c r="K135" s="88">
        <v>1771</v>
      </c>
      <c r="N135" s="97">
        <v>1950</v>
      </c>
      <c r="O135" s="88">
        <f t="shared" si="2"/>
        <v>2145</v>
      </c>
      <c r="P135" s="88"/>
      <c r="Q135" s="2"/>
      <c r="R135" s="2"/>
    </row>
    <row r="136" spans="2:18" x14ac:dyDescent="0.2">
      <c r="B136" s="10">
        <v>8325</v>
      </c>
      <c r="C136" s="10" t="s">
        <v>161</v>
      </c>
      <c r="D136" s="13" t="s">
        <v>314</v>
      </c>
      <c r="E136" s="89">
        <v>2954</v>
      </c>
      <c r="F136" s="2"/>
      <c r="G136" s="2"/>
      <c r="I136" s="81">
        <v>740</v>
      </c>
      <c r="J136" s="2">
        <f t="shared" si="3"/>
        <v>814</v>
      </c>
      <c r="K136" s="88">
        <v>814</v>
      </c>
      <c r="N136" s="89">
        <v>895</v>
      </c>
      <c r="O136" s="88">
        <f t="shared" si="2"/>
        <v>984.5</v>
      </c>
      <c r="P136" s="88"/>
      <c r="Q136" s="2"/>
      <c r="R136" s="2"/>
    </row>
    <row r="137" spans="2:18" ht="17" customHeight="1" x14ac:dyDescent="0.2">
      <c r="B137" s="10">
        <v>8327</v>
      </c>
      <c r="C137" s="10" t="s">
        <v>162</v>
      </c>
      <c r="D137" s="13" t="s">
        <v>314</v>
      </c>
      <c r="E137" s="89">
        <v>1357</v>
      </c>
      <c r="F137" s="2"/>
      <c r="G137" s="2"/>
      <c r="I137" s="18">
        <v>1165</v>
      </c>
      <c r="J137" s="2">
        <f t="shared" si="3"/>
        <v>1281.5</v>
      </c>
      <c r="K137" s="88">
        <v>1282</v>
      </c>
      <c r="N137" s="97">
        <v>1410</v>
      </c>
      <c r="O137" s="88">
        <f t="shared" si="2"/>
        <v>1551</v>
      </c>
      <c r="P137" s="88"/>
      <c r="Q137" s="2"/>
      <c r="R137" s="2"/>
    </row>
    <row r="138" spans="2:18" ht="34" x14ac:dyDescent="0.2">
      <c r="B138" s="12">
        <v>8328</v>
      </c>
      <c r="C138" s="14" t="s">
        <v>553</v>
      </c>
      <c r="D138" s="15" t="s">
        <v>314</v>
      </c>
      <c r="E138" s="89">
        <v>2134</v>
      </c>
      <c r="F138" s="2"/>
      <c r="G138" s="2"/>
      <c r="I138" s="83">
        <v>1410</v>
      </c>
      <c r="J138" s="2">
        <f t="shared" si="3"/>
        <v>1551</v>
      </c>
      <c r="K138" s="88">
        <v>1551</v>
      </c>
      <c r="N138" s="89">
        <v>1705</v>
      </c>
      <c r="O138" s="88">
        <f t="shared" si="2"/>
        <v>1875.5</v>
      </c>
      <c r="P138" s="88"/>
      <c r="Q138" s="2"/>
      <c r="R138" s="2"/>
    </row>
    <row r="139" spans="2:18" ht="17" x14ac:dyDescent="0.2">
      <c r="B139" s="12">
        <v>8329</v>
      </c>
      <c r="C139" s="14" t="s">
        <v>554</v>
      </c>
      <c r="D139" s="15" t="s">
        <v>314</v>
      </c>
      <c r="E139" s="89">
        <v>2582</v>
      </c>
      <c r="F139" s="2"/>
      <c r="G139" s="2"/>
      <c r="I139" s="16">
        <v>610</v>
      </c>
      <c r="J139" s="2">
        <f t="shared" si="3"/>
        <v>671</v>
      </c>
      <c r="K139" s="88">
        <v>671</v>
      </c>
      <c r="N139" s="97">
        <v>735</v>
      </c>
      <c r="O139" s="88">
        <f t="shared" si="2"/>
        <v>808.5</v>
      </c>
      <c r="P139" s="88"/>
      <c r="Q139" s="2"/>
      <c r="R139" s="2"/>
    </row>
    <row r="140" spans="2:18" x14ac:dyDescent="0.2">
      <c r="B140" s="10">
        <v>8330</v>
      </c>
      <c r="C140" s="10" t="s">
        <v>165</v>
      </c>
      <c r="D140" s="13" t="s">
        <v>314</v>
      </c>
      <c r="E140" s="89">
        <v>1116</v>
      </c>
      <c r="F140" s="2"/>
      <c r="G140" s="2"/>
      <c r="I140" s="81">
        <v>630</v>
      </c>
      <c r="J140" s="2">
        <f t="shared" si="3"/>
        <v>693</v>
      </c>
      <c r="K140" s="88">
        <v>693</v>
      </c>
      <c r="N140" s="89">
        <v>765</v>
      </c>
      <c r="O140" s="88">
        <f t="shared" si="2"/>
        <v>841.5</v>
      </c>
      <c r="P140" s="88"/>
      <c r="Q140" s="2"/>
      <c r="R140" s="2"/>
    </row>
    <row r="141" spans="2:18" x14ac:dyDescent="0.2">
      <c r="B141" s="10">
        <v>8332</v>
      </c>
      <c r="C141" s="10" t="s">
        <v>166</v>
      </c>
      <c r="D141" s="13" t="s">
        <v>314</v>
      </c>
      <c r="E141" s="89">
        <v>1156</v>
      </c>
      <c r="F141" s="2"/>
      <c r="G141" s="2"/>
      <c r="I141" s="16">
        <v>875</v>
      </c>
      <c r="J141" s="2">
        <f t="shared" si="3"/>
        <v>962.5</v>
      </c>
      <c r="K141" s="88">
        <v>963</v>
      </c>
      <c r="N141" s="97">
        <v>1055</v>
      </c>
      <c r="O141" s="88">
        <f t="shared" si="2"/>
        <v>1160.5</v>
      </c>
      <c r="P141" s="88"/>
      <c r="Q141" s="2"/>
      <c r="R141" s="2"/>
    </row>
    <row r="142" spans="2:18" x14ac:dyDescent="0.2">
      <c r="B142" s="10">
        <v>8333</v>
      </c>
      <c r="C142" s="10" t="s">
        <v>167</v>
      </c>
      <c r="D142" s="13" t="s">
        <v>314</v>
      </c>
      <c r="E142" s="89">
        <v>1597</v>
      </c>
      <c r="F142" s="2"/>
      <c r="G142" s="2"/>
      <c r="I142" s="81">
        <v>935</v>
      </c>
      <c r="J142" s="2">
        <f t="shared" si="3"/>
        <v>1028.5</v>
      </c>
      <c r="K142" s="88">
        <v>1029</v>
      </c>
      <c r="N142" s="89">
        <v>1135</v>
      </c>
      <c r="O142" s="88">
        <f t="shared" si="2"/>
        <v>1248.5</v>
      </c>
      <c r="P142" s="88"/>
      <c r="Q142" s="2"/>
      <c r="R142" s="2"/>
    </row>
    <row r="143" spans="2:18" x14ac:dyDescent="0.2">
      <c r="B143" s="10">
        <v>8334</v>
      </c>
      <c r="C143" s="10" t="s">
        <v>168</v>
      </c>
      <c r="D143" s="13" t="s">
        <v>314</v>
      </c>
      <c r="E143" s="89">
        <v>1721</v>
      </c>
      <c r="F143" s="2"/>
      <c r="G143" s="2"/>
      <c r="I143" s="16">
        <v>2810</v>
      </c>
      <c r="J143" s="2">
        <f t="shared" si="3"/>
        <v>3091</v>
      </c>
      <c r="K143" s="88">
        <v>3091</v>
      </c>
      <c r="N143" s="97">
        <v>3400</v>
      </c>
      <c r="O143" s="88">
        <f t="shared" si="2"/>
        <v>3740</v>
      </c>
      <c r="P143" s="88"/>
      <c r="Q143" s="2"/>
      <c r="R143" s="2"/>
    </row>
    <row r="144" spans="2:18" x14ac:dyDescent="0.2">
      <c r="B144" s="10">
        <v>8335</v>
      </c>
      <c r="C144" s="10" t="s">
        <v>169</v>
      </c>
      <c r="D144" s="13" t="s">
        <v>314</v>
      </c>
      <c r="E144" s="89">
        <v>5149</v>
      </c>
      <c r="F144" s="2"/>
      <c r="G144" s="2"/>
      <c r="I144" s="81">
        <v>2810</v>
      </c>
      <c r="J144" s="2">
        <f t="shared" si="3"/>
        <v>3091</v>
      </c>
      <c r="K144" s="88">
        <v>3091</v>
      </c>
      <c r="N144" s="89">
        <v>3400</v>
      </c>
      <c r="O144" s="88">
        <f t="shared" si="2"/>
        <v>3740</v>
      </c>
      <c r="P144" s="88"/>
      <c r="Q144" s="2"/>
      <c r="R144" s="2"/>
    </row>
    <row r="145" spans="2:18" x14ac:dyDescent="0.2">
      <c r="B145" s="10">
        <v>8336</v>
      </c>
      <c r="C145" s="10" t="s">
        <v>170</v>
      </c>
      <c r="D145" s="13" t="s">
        <v>314</v>
      </c>
      <c r="E145" s="89">
        <v>5149</v>
      </c>
      <c r="F145" s="2"/>
      <c r="G145" s="2"/>
      <c r="I145" s="18">
        <v>1300</v>
      </c>
      <c r="J145" s="2">
        <f t="shared" si="3"/>
        <v>1430</v>
      </c>
      <c r="K145" s="88">
        <v>1430</v>
      </c>
      <c r="N145" s="97">
        <v>1575</v>
      </c>
      <c r="O145" s="88">
        <f t="shared" si="2"/>
        <v>1732.5</v>
      </c>
      <c r="P145" s="88"/>
      <c r="Q145" s="2"/>
      <c r="R145" s="2"/>
    </row>
    <row r="146" spans="2:18" ht="34" x14ac:dyDescent="0.2">
      <c r="B146" s="12">
        <v>8337</v>
      </c>
      <c r="C146" s="14" t="s">
        <v>171</v>
      </c>
      <c r="D146" s="15" t="s">
        <v>314</v>
      </c>
      <c r="E146" s="89">
        <v>2382</v>
      </c>
      <c r="F146" s="2"/>
      <c r="G146" s="2"/>
      <c r="I146" s="81">
        <v>4025</v>
      </c>
      <c r="J146" s="2">
        <f t="shared" si="3"/>
        <v>4427.5</v>
      </c>
      <c r="K146" s="88">
        <v>4428</v>
      </c>
      <c r="N146" s="89">
        <v>4765</v>
      </c>
      <c r="O146" s="88">
        <f t="shared" si="2"/>
        <v>5241.5</v>
      </c>
      <c r="P146" s="88"/>
      <c r="Q146" s="2"/>
      <c r="R146" s="2"/>
    </row>
    <row r="147" spans="2:18" x14ac:dyDescent="0.2">
      <c r="B147" s="10">
        <v>8338</v>
      </c>
      <c r="C147" s="10" t="s">
        <v>172</v>
      </c>
      <c r="D147" s="13" t="s">
        <v>314</v>
      </c>
      <c r="E147" s="89">
        <v>7215</v>
      </c>
      <c r="F147" s="2"/>
      <c r="G147" s="2"/>
      <c r="I147" s="16">
        <v>4025</v>
      </c>
      <c r="J147" s="2">
        <f t="shared" si="3"/>
        <v>4427.5</v>
      </c>
      <c r="K147" s="88">
        <v>4428</v>
      </c>
      <c r="N147" s="97">
        <v>4765</v>
      </c>
      <c r="O147" s="88">
        <f t="shared" si="2"/>
        <v>5241.5</v>
      </c>
      <c r="P147" s="88"/>
      <c r="Q147" s="2"/>
      <c r="R147" s="2"/>
    </row>
    <row r="148" spans="2:18" x14ac:dyDescent="0.2">
      <c r="B148" s="10">
        <v>8339</v>
      </c>
      <c r="C148" s="10" t="s">
        <v>173</v>
      </c>
      <c r="D148" s="13" t="s">
        <v>314</v>
      </c>
      <c r="E148" s="89">
        <v>7215</v>
      </c>
      <c r="F148" s="2"/>
      <c r="G148" s="2"/>
      <c r="I148" s="84">
        <v>1410</v>
      </c>
      <c r="J148" s="2">
        <f t="shared" si="3"/>
        <v>1551</v>
      </c>
      <c r="K148" s="88">
        <v>1551</v>
      </c>
      <c r="N148" s="89">
        <v>1075</v>
      </c>
      <c r="O148" s="88">
        <f t="shared" si="2"/>
        <v>1182.5</v>
      </c>
      <c r="P148" s="88"/>
      <c r="Q148" s="2"/>
      <c r="R148" s="2"/>
    </row>
    <row r="149" spans="2:18" ht="34" x14ac:dyDescent="0.2">
      <c r="B149" s="12">
        <v>8340</v>
      </c>
      <c r="C149" s="14" t="s">
        <v>555</v>
      </c>
      <c r="D149" s="15" t="s">
        <v>314</v>
      </c>
      <c r="E149" s="89">
        <v>2582</v>
      </c>
      <c r="F149" s="2"/>
      <c r="G149" s="2"/>
      <c r="I149" s="19">
        <v>361</v>
      </c>
      <c r="J149" s="2">
        <f t="shared" si="3"/>
        <v>397.1</v>
      </c>
      <c r="K149" s="88">
        <v>397</v>
      </c>
      <c r="N149" s="97">
        <v>375</v>
      </c>
      <c r="O149" s="88">
        <f t="shared" si="2"/>
        <v>412.5</v>
      </c>
      <c r="P149" s="88"/>
      <c r="Q149" s="2"/>
      <c r="R149" s="2"/>
    </row>
    <row r="150" spans="2:18" ht="17" x14ac:dyDescent="0.2">
      <c r="B150" s="12">
        <v>8345</v>
      </c>
      <c r="C150" s="14" t="s">
        <v>365</v>
      </c>
      <c r="D150" s="15" t="s">
        <v>314</v>
      </c>
      <c r="E150" s="89">
        <v>497</v>
      </c>
      <c r="F150" s="2"/>
      <c r="G150" s="2"/>
      <c r="I150" s="81">
        <v>315</v>
      </c>
      <c r="J150" s="2">
        <f t="shared" si="3"/>
        <v>346.5</v>
      </c>
      <c r="K150" s="88">
        <v>347</v>
      </c>
      <c r="N150" s="89">
        <v>345</v>
      </c>
      <c r="O150" s="88">
        <f t="shared" si="2"/>
        <v>379.5</v>
      </c>
      <c r="P150" s="88"/>
      <c r="Q150" s="2"/>
      <c r="R150" s="2"/>
    </row>
    <row r="151" spans="2:18" x14ac:dyDescent="0.2">
      <c r="B151" s="10">
        <v>8349</v>
      </c>
      <c r="C151" s="10" t="s">
        <v>175</v>
      </c>
      <c r="D151" s="13" t="s">
        <v>313</v>
      </c>
      <c r="E151" s="89">
        <v>579</v>
      </c>
      <c r="F151" s="2"/>
      <c r="G151" s="2"/>
      <c r="I151" s="16">
        <v>1835</v>
      </c>
      <c r="J151" s="2">
        <f t="shared" si="3"/>
        <v>2018.5</v>
      </c>
      <c r="K151" s="88">
        <v>2019</v>
      </c>
      <c r="N151" s="97">
        <v>2220</v>
      </c>
      <c r="O151" s="88">
        <f t="shared" si="2"/>
        <v>2442</v>
      </c>
      <c r="P151" s="88"/>
      <c r="Q151" s="2"/>
      <c r="R151" s="2"/>
    </row>
    <row r="152" spans="2:18" x14ac:dyDescent="0.2">
      <c r="B152" s="10">
        <v>8350</v>
      </c>
      <c r="C152" s="10" t="s">
        <v>176</v>
      </c>
      <c r="D152" s="13" t="s">
        <v>316</v>
      </c>
      <c r="E152" s="89">
        <v>3359</v>
      </c>
      <c r="F152" s="2"/>
      <c r="G152" s="2"/>
      <c r="I152" s="81">
        <v>765</v>
      </c>
      <c r="J152" s="2">
        <f t="shared" si="3"/>
        <v>841.5</v>
      </c>
      <c r="K152" s="88">
        <v>842</v>
      </c>
      <c r="N152" s="89">
        <v>925</v>
      </c>
      <c r="O152" s="88">
        <f t="shared" si="2"/>
        <v>1017.5</v>
      </c>
      <c r="P152" s="88"/>
      <c r="Q152" s="2"/>
      <c r="R152" s="2"/>
    </row>
    <row r="153" spans="2:18" x14ac:dyDescent="0.2">
      <c r="B153" s="10">
        <v>8351</v>
      </c>
      <c r="C153" s="10" t="s">
        <v>177</v>
      </c>
      <c r="D153" s="13" t="s">
        <v>316</v>
      </c>
      <c r="E153" s="89">
        <v>1397</v>
      </c>
      <c r="F153" s="2"/>
      <c r="G153" s="2"/>
      <c r="I153" s="16">
        <v>1050</v>
      </c>
      <c r="J153" s="2">
        <f t="shared" si="3"/>
        <v>1155</v>
      </c>
      <c r="K153" s="88">
        <v>1155</v>
      </c>
      <c r="N153" s="97">
        <v>1270</v>
      </c>
      <c r="O153" s="88">
        <f t="shared" si="2"/>
        <v>1397</v>
      </c>
      <c r="P153" s="88"/>
      <c r="Q153" s="2"/>
      <c r="R153" s="2"/>
    </row>
    <row r="154" spans="2:18" x14ac:dyDescent="0.2">
      <c r="B154" s="10">
        <v>8352</v>
      </c>
      <c r="C154" s="10" t="s">
        <v>178</v>
      </c>
      <c r="D154" s="13" t="s">
        <v>316</v>
      </c>
      <c r="E154" s="89">
        <v>1921</v>
      </c>
      <c r="F154" s="2"/>
      <c r="G154" s="2"/>
      <c r="I154" s="81">
        <v>1360</v>
      </c>
      <c r="J154" s="2">
        <f t="shared" si="3"/>
        <v>1496</v>
      </c>
      <c r="K154" s="88">
        <v>1496</v>
      </c>
      <c r="N154" s="89">
        <v>1645</v>
      </c>
      <c r="O154" s="88">
        <f t="shared" si="2"/>
        <v>1809.5</v>
      </c>
      <c r="P154" s="88"/>
      <c r="Q154" s="2"/>
      <c r="R154" s="2"/>
    </row>
    <row r="155" spans="2:18" x14ac:dyDescent="0.2">
      <c r="B155" s="10">
        <v>8353</v>
      </c>
      <c r="C155" s="10" t="s">
        <v>179</v>
      </c>
      <c r="D155" s="13" t="s">
        <v>316</v>
      </c>
      <c r="E155" s="89">
        <v>2493</v>
      </c>
      <c r="F155" s="2"/>
      <c r="G155" s="2"/>
      <c r="I155" s="16">
        <v>1635</v>
      </c>
      <c r="J155" s="2">
        <f t="shared" si="3"/>
        <v>1798.5</v>
      </c>
      <c r="K155" s="88">
        <v>1790</v>
      </c>
      <c r="N155" s="97">
        <v>1980</v>
      </c>
      <c r="O155" s="88">
        <f t="shared" si="2"/>
        <v>2178</v>
      </c>
      <c r="P155" s="88"/>
      <c r="Q155" s="2"/>
      <c r="R155" s="2"/>
    </row>
    <row r="156" spans="2:18" x14ac:dyDescent="0.2">
      <c r="B156" s="10">
        <v>8354</v>
      </c>
      <c r="C156" s="10" t="s">
        <v>180</v>
      </c>
      <c r="D156" s="13" t="s">
        <v>316</v>
      </c>
      <c r="E156" s="89">
        <v>2995</v>
      </c>
      <c r="F156" s="2"/>
      <c r="G156" s="2"/>
      <c r="I156" s="81">
        <v>2860</v>
      </c>
      <c r="J156" s="2">
        <f t="shared" si="3"/>
        <v>3146</v>
      </c>
      <c r="K156" s="88">
        <v>3146</v>
      </c>
      <c r="N156" s="89">
        <v>3460</v>
      </c>
      <c r="O156" s="88">
        <f t="shared" si="2"/>
        <v>3806</v>
      </c>
      <c r="P156" s="88"/>
      <c r="Q156" s="2"/>
      <c r="R156" s="2"/>
    </row>
    <row r="157" spans="2:18" x14ac:dyDescent="0.2">
      <c r="B157" s="10">
        <v>8355</v>
      </c>
      <c r="C157" s="10" t="s">
        <v>181</v>
      </c>
      <c r="D157" s="13" t="s">
        <v>315</v>
      </c>
      <c r="E157" s="89">
        <v>5239</v>
      </c>
      <c r="F157" s="2"/>
      <c r="G157" s="2"/>
      <c r="I157" s="16">
        <v>970</v>
      </c>
      <c r="J157" s="2">
        <f t="shared" si="3"/>
        <v>1067</v>
      </c>
      <c r="K157" s="88">
        <v>1067</v>
      </c>
      <c r="N157" s="97">
        <v>1170</v>
      </c>
      <c r="O157" s="88">
        <f t="shared" si="2"/>
        <v>1287</v>
      </c>
      <c r="P157" s="88"/>
      <c r="Q157" s="2"/>
      <c r="R157" s="2"/>
    </row>
    <row r="158" spans="2:18" x14ac:dyDescent="0.2">
      <c r="B158" s="10">
        <v>8367</v>
      </c>
      <c r="C158" s="10" t="s">
        <v>182</v>
      </c>
      <c r="D158" s="13" t="s">
        <v>316</v>
      </c>
      <c r="E158" s="89">
        <v>1770</v>
      </c>
      <c r="F158" s="2"/>
      <c r="G158" s="2"/>
      <c r="I158" s="81">
        <v>1335</v>
      </c>
      <c r="J158" s="2">
        <f t="shared" si="3"/>
        <v>1468.5</v>
      </c>
      <c r="K158" s="88">
        <v>1469</v>
      </c>
      <c r="N158" s="89">
        <v>1620</v>
      </c>
      <c r="O158" s="88">
        <f t="shared" si="2"/>
        <v>1782</v>
      </c>
      <c r="P158" s="88"/>
      <c r="Q158" s="2"/>
      <c r="R158" s="2"/>
    </row>
    <row r="159" spans="2:18" x14ac:dyDescent="0.2">
      <c r="B159" s="10">
        <v>8368</v>
      </c>
      <c r="C159" s="10" t="s">
        <v>183</v>
      </c>
      <c r="D159" s="13" t="s">
        <v>316</v>
      </c>
      <c r="E159" s="89">
        <v>2450</v>
      </c>
      <c r="F159" s="2"/>
      <c r="G159" s="2"/>
      <c r="I159" s="16">
        <v>1700</v>
      </c>
      <c r="J159" s="2">
        <f t="shared" si="3"/>
        <v>1870</v>
      </c>
      <c r="K159" s="88">
        <v>1870</v>
      </c>
      <c r="N159" s="97">
        <v>2055</v>
      </c>
      <c r="O159" s="88">
        <f t="shared" ref="O159:O222" si="4">N159+(N159*0.1)</f>
        <v>2260.5</v>
      </c>
      <c r="P159" s="88"/>
      <c r="Q159" s="2"/>
      <c r="R159" s="2"/>
    </row>
    <row r="160" spans="2:18" x14ac:dyDescent="0.2">
      <c r="B160" s="10">
        <v>8369</v>
      </c>
      <c r="C160" s="10" t="s">
        <v>184</v>
      </c>
      <c r="D160" s="13" t="s">
        <v>316</v>
      </c>
      <c r="E160" s="89">
        <v>3112</v>
      </c>
      <c r="F160" s="2"/>
      <c r="G160" s="2"/>
      <c r="I160" s="81">
        <v>2075</v>
      </c>
      <c r="J160" s="2">
        <f t="shared" si="3"/>
        <v>2282.5</v>
      </c>
      <c r="K160" s="88">
        <v>2283</v>
      </c>
      <c r="N160" s="89">
        <v>2510</v>
      </c>
      <c r="O160" s="88">
        <f t="shared" si="4"/>
        <v>2761</v>
      </c>
      <c r="P160" s="88"/>
      <c r="Q160" s="2"/>
      <c r="R160" s="2"/>
    </row>
    <row r="161" spans="2:18" x14ac:dyDescent="0.2">
      <c r="B161" s="10">
        <v>8370</v>
      </c>
      <c r="C161" s="10" t="s">
        <v>185</v>
      </c>
      <c r="D161" s="13" t="s">
        <v>316</v>
      </c>
      <c r="E161" s="89">
        <v>3801</v>
      </c>
      <c r="F161" s="2"/>
      <c r="G161" s="2"/>
      <c r="I161" s="16">
        <v>3230</v>
      </c>
      <c r="J161" s="2">
        <f t="shared" si="3"/>
        <v>3553</v>
      </c>
      <c r="K161" s="88">
        <v>3553</v>
      </c>
      <c r="N161" s="97">
        <v>3910</v>
      </c>
      <c r="O161" s="88">
        <f t="shared" si="4"/>
        <v>4301</v>
      </c>
      <c r="P161" s="88"/>
      <c r="Q161" s="2"/>
      <c r="R161" s="2"/>
    </row>
    <row r="162" spans="2:18" x14ac:dyDescent="0.2">
      <c r="B162" s="10">
        <v>8371</v>
      </c>
      <c r="C162" s="10" t="s">
        <v>186</v>
      </c>
      <c r="D162" s="13" t="s">
        <v>316</v>
      </c>
      <c r="E162" s="89">
        <v>5921</v>
      </c>
      <c r="F162" s="2"/>
      <c r="G162" s="2"/>
      <c r="I162" s="81">
        <v>4300</v>
      </c>
      <c r="J162" s="2">
        <f t="shared" si="3"/>
        <v>4730</v>
      </c>
      <c r="K162" s="88">
        <v>4730</v>
      </c>
      <c r="N162" s="89">
        <v>5200</v>
      </c>
      <c r="O162" s="88">
        <f t="shared" si="4"/>
        <v>5720</v>
      </c>
      <c r="P162" s="88"/>
      <c r="Q162" s="2"/>
      <c r="R162" s="2"/>
    </row>
    <row r="163" spans="2:18" x14ac:dyDescent="0.2">
      <c r="B163" s="10">
        <v>8372</v>
      </c>
      <c r="C163" s="10" t="s">
        <v>187</v>
      </c>
      <c r="D163" s="13" t="s">
        <v>316</v>
      </c>
      <c r="E163" s="89">
        <v>7876</v>
      </c>
      <c r="F163" s="2"/>
      <c r="G163" s="2"/>
      <c r="I163" s="16">
        <v>2865</v>
      </c>
      <c r="J163" s="2">
        <f t="shared" si="3"/>
        <v>3151.5</v>
      </c>
      <c r="K163" s="88">
        <v>3152</v>
      </c>
      <c r="N163" s="97">
        <v>8305</v>
      </c>
      <c r="O163" s="88">
        <f t="shared" si="4"/>
        <v>9135.5</v>
      </c>
      <c r="P163" s="88"/>
      <c r="Q163" s="2"/>
      <c r="R163" s="2"/>
    </row>
    <row r="164" spans="2:18" x14ac:dyDescent="0.2">
      <c r="B164" s="10">
        <v>8373</v>
      </c>
      <c r="C164" s="10" t="s">
        <v>188</v>
      </c>
      <c r="D164" s="13" t="s">
        <v>316</v>
      </c>
      <c r="E164" s="89">
        <v>12578</v>
      </c>
      <c r="F164" s="2"/>
      <c r="G164" s="2"/>
      <c r="I164" s="81">
        <v>7130</v>
      </c>
      <c r="J164" s="2">
        <f t="shared" si="3"/>
        <v>7843</v>
      </c>
      <c r="K164" s="88">
        <v>7843</v>
      </c>
      <c r="N164" s="89">
        <v>8630</v>
      </c>
      <c r="O164" s="88">
        <f t="shared" si="4"/>
        <v>9493</v>
      </c>
      <c r="P164" s="88"/>
      <c r="Q164" s="2"/>
      <c r="R164" s="2"/>
    </row>
    <row r="165" spans="2:18" x14ac:dyDescent="0.2">
      <c r="B165" s="10">
        <v>8374</v>
      </c>
      <c r="C165" s="10" t="s">
        <v>189</v>
      </c>
      <c r="D165" s="13" t="s">
        <v>316</v>
      </c>
      <c r="E165" s="89">
        <v>13074</v>
      </c>
      <c r="F165" s="2"/>
      <c r="G165" s="2"/>
      <c r="I165" s="16">
        <v>1115</v>
      </c>
      <c r="J165" s="2">
        <f t="shared" si="3"/>
        <v>1226.5</v>
      </c>
      <c r="K165" s="88">
        <v>1227</v>
      </c>
      <c r="N165" s="97">
        <v>1350</v>
      </c>
      <c r="O165" s="88">
        <f t="shared" si="4"/>
        <v>1485</v>
      </c>
      <c r="P165" s="88"/>
      <c r="Q165" s="2"/>
      <c r="R165" s="2"/>
    </row>
    <row r="166" spans="2:18" x14ac:dyDescent="0.2">
      <c r="B166" s="10">
        <v>8375</v>
      </c>
      <c r="C166" s="10" t="s">
        <v>190</v>
      </c>
      <c r="D166" s="13" t="s">
        <v>316</v>
      </c>
      <c r="E166" s="89">
        <v>2045</v>
      </c>
      <c r="F166" s="2"/>
      <c r="G166" s="2"/>
      <c r="I166" s="81">
        <v>2790</v>
      </c>
      <c r="J166" s="2">
        <f t="shared" ref="J166:J229" si="5">I166+(I166*0.1)</f>
        <v>3069</v>
      </c>
      <c r="K166" s="88">
        <v>3069</v>
      </c>
      <c r="N166" s="89">
        <v>3375</v>
      </c>
      <c r="O166" s="88">
        <f t="shared" si="4"/>
        <v>3712.5</v>
      </c>
      <c r="P166" s="88"/>
      <c r="Q166" s="2"/>
      <c r="R166" s="2"/>
    </row>
    <row r="167" spans="2:18" x14ac:dyDescent="0.2">
      <c r="B167" s="10">
        <v>8376</v>
      </c>
      <c r="C167" s="10" t="s">
        <v>191</v>
      </c>
      <c r="D167" s="13" t="s">
        <v>314</v>
      </c>
      <c r="E167" s="89">
        <v>8109</v>
      </c>
      <c r="F167" s="2"/>
      <c r="G167" s="2"/>
      <c r="I167" s="16">
        <v>280</v>
      </c>
      <c r="J167" s="2">
        <f t="shared" si="5"/>
        <v>308</v>
      </c>
      <c r="K167" s="88">
        <v>308</v>
      </c>
      <c r="N167" s="97">
        <v>338</v>
      </c>
      <c r="O167" s="88">
        <f t="shared" si="4"/>
        <v>371.8</v>
      </c>
      <c r="P167" s="88"/>
      <c r="Q167" s="2"/>
      <c r="R167" s="2"/>
    </row>
    <row r="168" spans="2:18" x14ac:dyDescent="0.2">
      <c r="B168" s="10">
        <v>8379</v>
      </c>
      <c r="C168" s="10" t="s">
        <v>192</v>
      </c>
      <c r="D168" s="13" t="s">
        <v>314</v>
      </c>
      <c r="E168" s="204">
        <v>949</v>
      </c>
      <c r="F168" s="2"/>
      <c r="G168" s="2"/>
      <c r="I168" s="81">
        <v>2410</v>
      </c>
      <c r="J168" s="2">
        <f t="shared" si="5"/>
        <v>2651</v>
      </c>
      <c r="K168" s="88">
        <v>2651</v>
      </c>
      <c r="N168" s="89">
        <v>2915</v>
      </c>
      <c r="O168" s="88">
        <f t="shared" si="4"/>
        <v>3206.5</v>
      </c>
      <c r="P168" s="88"/>
      <c r="Q168" s="2"/>
      <c r="R168" s="2"/>
    </row>
    <row r="169" spans="2:18" x14ac:dyDescent="0.2">
      <c r="B169" s="10">
        <v>8391</v>
      </c>
      <c r="C169" s="10" t="s">
        <v>193</v>
      </c>
      <c r="D169" s="13" t="s">
        <v>314</v>
      </c>
      <c r="E169" s="89">
        <v>4413</v>
      </c>
      <c r="F169" s="2"/>
      <c r="G169" s="2"/>
      <c r="I169" s="16">
        <v>940</v>
      </c>
      <c r="J169" s="2">
        <f t="shared" si="5"/>
        <v>1034</v>
      </c>
      <c r="K169" s="88">
        <v>1034</v>
      </c>
      <c r="N169" s="97">
        <v>1140</v>
      </c>
      <c r="O169" s="88">
        <f t="shared" si="4"/>
        <v>1254</v>
      </c>
      <c r="P169" s="88"/>
      <c r="Q169" s="2"/>
      <c r="R169" s="2"/>
    </row>
    <row r="170" spans="2:18" x14ac:dyDescent="0.2">
      <c r="B170" s="10">
        <v>8392</v>
      </c>
      <c r="C170" s="10" t="s">
        <v>194</v>
      </c>
      <c r="D170" s="13" t="s">
        <v>314</v>
      </c>
      <c r="E170" s="89">
        <v>1728</v>
      </c>
      <c r="F170" s="2"/>
      <c r="G170" s="2"/>
      <c r="I170" s="81">
        <v>2410</v>
      </c>
      <c r="J170" s="2">
        <f t="shared" si="5"/>
        <v>2651</v>
      </c>
      <c r="K170" s="88">
        <v>2651</v>
      </c>
      <c r="N170" s="89">
        <v>2915</v>
      </c>
      <c r="O170" s="88">
        <f t="shared" si="4"/>
        <v>3206.5</v>
      </c>
      <c r="P170" s="88"/>
      <c r="Q170" s="2"/>
      <c r="R170" s="2"/>
    </row>
    <row r="171" spans="2:18" x14ac:dyDescent="0.2">
      <c r="B171" s="10">
        <v>8396</v>
      </c>
      <c r="C171" s="10" t="s">
        <v>195</v>
      </c>
      <c r="D171" s="13" t="s">
        <v>314</v>
      </c>
      <c r="E171" s="89">
        <v>4413</v>
      </c>
      <c r="F171" s="2"/>
      <c r="G171" s="2"/>
      <c r="I171" s="16">
        <v>2320</v>
      </c>
      <c r="J171" s="2">
        <f t="shared" si="5"/>
        <v>2552</v>
      </c>
      <c r="K171" s="88">
        <v>2551</v>
      </c>
      <c r="N171" s="97">
        <v>2805</v>
      </c>
      <c r="O171" s="88">
        <f t="shared" si="4"/>
        <v>3085.5</v>
      </c>
      <c r="P171" s="88"/>
      <c r="Q171" s="2"/>
      <c r="R171" s="2"/>
    </row>
    <row r="172" spans="2:18" x14ac:dyDescent="0.2">
      <c r="B172" s="10">
        <v>8398</v>
      </c>
      <c r="C172" s="10" t="s">
        <v>196</v>
      </c>
      <c r="D172" s="13" t="s">
        <v>316</v>
      </c>
      <c r="E172" s="89">
        <v>4248</v>
      </c>
      <c r="F172" s="2"/>
      <c r="G172" s="2"/>
      <c r="I172" s="85">
        <v>3360</v>
      </c>
      <c r="J172" s="2">
        <f t="shared" si="5"/>
        <v>3696</v>
      </c>
      <c r="K172" s="88">
        <v>3696</v>
      </c>
      <c r="N172" s="89">
        <v>4065</v>
      </c>
      <c r="O172" s="88">
        <f t="shared" si="4"/>
        <v>4471.5</v>
      </c>
      <c r="P172" s="88"/>
      <c r="Q172" s="2"/>
      <c r="R172" s="2"/>
    </row>
    <row r="173" spans="2:18" x14ac:dyDescent="0.2">
      <c r="B173" s="10">
        <v>8400</v>
      </c>
      <c r="C173" s="10" t="s">
        <v>197</v>
      </c>
      <c r="D173" s="13" t="s">
        <v>316</v>
      </c>
      <c r="E173" s="89">
        <v>6155</v>
      </c>
      <c r="F173" s="2"/>
      <c r="G173" s="2"/>
      <c r="I173" s="16">
        <v>6500</v>
      </c>
      <c r="J173" s="2">
        <f t="shared" si="5"/>
        <v>7150</v>
      </c>
      <c r="K173" s="88">
        <v>7150</v>
      </c>
      <c r="N173" s="97">
        <v>7865</v>
      </c>
      <c r="O173" s="88">
        <f t="shared" si="4"/>
        <v>8651.5</v>
      </c>
      <c r="P173" s="88"/>
      <c r="Q173" s="2"/>
      <c r="R173" s="2"/>
    </row>
    <row r="174" spans="2:18" x14ac:dyDescent="0.2">
      <c r="B174" s="10">
        <v>8401</v>
      </c>
      <c r="C174" s="10" t="s">
        <v>198</v>
      </c>
      <c r="D174" s="13" t="s">
        <v>316</v>
      </c>
      <c r="E174" s="89">
        <v>11910</v>
      </c>
      <c r="F174" s="2"/>
      <c r="G174" s="2"/>
      <c r="I174" s="81">
        <v>6500</v>
      </c>
      <c r="J174" s="2">
        <f t="shared" si="5"/>
        <v>7150</v>
      </c>
      <c r="K174" s="88">
        <v>7150</v>
      </c>
      <c r="N174" s="89">
        <v>7865</v>
      </c>
      <c r="O174" s="88">
        <f t="shared" si="4"/>
        <v>8651.5</v>
      </c>
      <c r="P174" s="88"/>
      <c r="Q174" s="2"/>
      <c r="R174" s="2"/>
    </row>
    <row r="175" spans="2:18" x14ac:dyDescent="0.2">
      <c r="B175" s="10">
        <v>8403</v>
      </c>
      <c r="C175" s="10" t="s">
        <v>199</v>
      </c>
      <c r="D175" s="13" t="s">
        <v>316</v>
      </c>
      <c r="E175" s="89">
        <v>11910</v>
      </c>
      <c r="F175" s="2"/>
      <c r="G175" s="2"/>
      <c r="I175" s="16">
        <v>7865</v>
      </c>
      <c r="J175" s="2">
        <f t="shared" si="5"/>
        <v>8651.5</v>
      </c>
      <c r="K175" s="88">
        <v>8652</v>
      </c>
      <c r="N175" s="97">
        <v>9515</v>
      </c>
      <c r="O175" s="88">
        <f t="shared" si="4"/>
        <v>10466.5</v>
      </c>
      <c r="P175" s="88"/>
      <c r="Q175" s="2"/>
      <c r="R175" s="2"/>
    </row>
    <row r="176" spans="2:18" x14ac:dyDescent="0.2">
      <c r="B176" s="10">
        <v>8405</v>
      </c>
      <c r="C176" s="10" t="s">
        <v>200</v>
      </c>
      <c r="D176" s="13" t="s">
        <v>316</v>
      </c>
      <c r="E176" s="89">
        <v>14409</v>
      </c>
      <c r="F176" s="2"/>
      <c r="G176" s="2"/>
      <c r="I176" s="81">
        <v>8470</v>
      </c>
      <c r="J176" s="2">
        <f t="shared" si="5"/>
        <v>9317</v>
      </c>
      <c r="K176" s="88">
        <v>9317</v>
      </c>
      <c r="N176" s="89">
        <v>10245</v>
      </c>
      <c r="O176" s="88">
        <f t="shared" si="4"/>
        <v>11269.5</v>
      </c>
      <c r="P176" s="88"/>
      <c r="Q176" s="2"/>
      <c r="R176" s="2"/>
    </row>
    <row r="177" spans="2:18" x14ac:dyDescent="0.2">
      <c r="B177" s="10">
        <v>8409</v>
      </c>
      <c r="C177" s="10" t="s">
        <v>201</v>
      </c>
      <c r="D177" s="13" t="s">
        <v>316</v>
      </c>
      <c r="E177" s="89">
        <v>15518</v>
      </c>
      <c r="F177" s="2"/>
      <c r="G177" s="2"/>
      <c r="I177" s="16">
        <v>2445</v>
      </c>
      <c r="J177" s="2">
        <f t="shared" si="5"/>
        <v>2689.5</v>
      </c>
      <c r="K177" s="88">
        <v>2690</v>
      </c>
      <c r="N177" s="97">
        <v>4070</v>
      </c>
      <c r="O177" s="88">
        <f t="shared" si="4"/>
        <v>4477</v>
      </c>
      <c r="P177" s="88"/>
      <c r="Q177" s="2"/>
      <c r="R177" s="2"/>
    </row>
    <row r="178" spans="2:18" x14ac:dyDescent="0.2">
      <c r="B178" s="10">
        <v>8410</v>
      </c>
      <c r="C178" s="10" t="s">
        <v>202</v>
      </c>
      <c r="D178" s="13" t="s">
        <v>316</v>
      </c>
      <c r="E178" s="89">
        <v>6162</v>
      </c>
      <c r="F178" s="2"/>
      <c r="G178" s="2"/>
      <c r="I178" s="81">
        <v>8470</v>
      </c>
      <c r="J178" s="2">
        <f t="shared" si="5"/>
        <v>9317</v>
      </c>
      <c r="K178" s="88">
        <v>9317</v>
      </c>
      <c r="N178" s="89">
        <v>10245</v>
      </c>
      <c r="O178" s="88">
        <f t="shared" si="4"/>
        <v>11269.5</v>
      </c>
      <c r="P178" s="88"/>
      <c r="Q178" s="2"/>
      <c r="R178" s="2"/>
    </row>
    <row r="179" spans="2:18" x14ac:dyDescent="0.2">
      <c r="B179" s="10">
        <v>8411</v>
      </c>
      <c r="C179" s="10" t="s">
        <v>203</v>
      </c>
      <c r="D179" s="13" t="s">
        <v>316</v>
      </c>
      <c r="E179" s="89">
        <v>15518</v>
      </c>
      <c r="F179" s="2"/>
      <c r="G179" s="2"/>
      <c r="I179" s="16">
        <v>1140</v>
      </c>
      <c r="J179" s="2">
        <f t="shared" si="5"/>
        <v>1254</v>
      </c>
      <c r="K179" s="88">
        <v>1254</v>
      </c>
      <c r="N179" s="97">
        <v>1380</v>
      </c>
      <c r="O179" s="88">
        <f t="shared" si="4"/>
        <v>1518</v>
      </c>
      <c r="P179" s="88"/>
      <c r="Q179" s="2"/>
      <c r="R179" s="2"/>
    </row>
    <row r="180" spans="2:18" x14ac:dyDescent="0.2">
      <c r="B180" s="10">
        <v>8413</v>
      </c>
      <c r="C180" s="10" t="s">
        <v>204</v>
      </c>
      <c r="D180" s="13" t="s">
        <v>316</v>
      </c>
      <c r="E180" s="89">
        <v>2093</v>
      </c>
      <c r="F180" s="2"/>
      <c r="G180" s="2"/>
      <c r="I180" s="81">
        <v>4640</v>
      </c>
      <c r="J180" s="2">
        <f t="shared" si="5"/>
        <v>5104</v>
      </c>
      <c r="K180" s="88">
        <v>5104</v>
      </c>
      <c r="N180" s="89">
        <v>5615</v>
      </c>
      <c r="O180" s="88">
        <f t="shared" si="4"/>
        <v>6176.5</v>
      </c>
      <c r="P180" s="88"/>
      <c r="Q180" s="2"/>
      <c r="R180" s="2"/>
    </row>
    <row r="181" spans="2:18" x14ac:dyDescent="0.2">
      <c r="B181" s="10">
        <v>8415</v>
      </c>
      <c r="C181" s="10" t="s">
        <v>205</v>
      </c>
      <c r="D181" s="13" t="s">
        <v>313</v>
      </c>
      <c r="E181" s="89">
        <v>8502</v>
      </c>
      <c r="F181" s="2"/>
      <c r="G181" s="2"/>
      <c r="I181" s="16">
        <v>4640</v>
      </c>
      <c r="J181" s="2">
        <f t="shared" si="5"/>
        <v>5104</v>
      </c>
      <c r="K181" s="88">
        <v>5104</v>
      </c>
      <c r="N181" s="97">
        <v>5615</v>
      </c>
      <c r="O181" s="88">
        <f t="shared" si="4"/>
        <v>6176.5</v>
      </c>
      <c r="P181" s="88"/>
      <c r="Q181" s="2"/>
      <c r="R181" s="2"/>
    </row>
    <row r="182" spans="2:18" x14ac:dyDescent="0.2">
      <c r="B182" s="10">
        <v>8418</v>
      </c>
      <c r="C182" s="10" t="s">
        <v>206</v>
      </c>
      <c r="D182" s="13" t="s">
        <v>313</v>
      </c>
      <c r="E182" s="89">
        <v>8502</v>
      </c>
      <c r="F182" s="2"/>
      <c r="G182" s="2"/>
      <c r="I182" s="81">
        <v>1130</v>
      </c>
      <c r="J182" s="2">
        <f t="shared" si="5"/>
        <v>1243</v>
      </c>
      <c r="K182" s="88">
        <v>1243</v>
      </c>
      <c r="N182" s="89">
        <v>1925</v>
      </c>
      <c r="O182" s="88">
        <f t="shared" si="4"/>
        <v>2117.5</v>
      </c>
      <c r="P182" s="88"/>
      <c r="Q182" s="2"/>
      <c r="R182" s="2"/>
    </row>
    <row r="183" spans="2:18" x14ac:dyDescent="0.2">
      <c r="B183" s="10">
        <v>8419</v>
      </c>
      <c r="C183" s="10" t="s">
        <v>207</v>
      </c>
      <c r="D183" s="13" t="s">
        <v>313</v>
      </c>
      <c r="E183" s="89">
        <v>2912</v>
      </c>
      <c r="F183" s="2"/>
      <c r="G183" s="2"/>
      <c r="I183" s="16">
        <v>4755</v>
      </c>
      <c r="J183" s="2">
        <f t="shared" si="5"/>
        <v>5230.5</v>
      </c>
      <c r="K183" s="88">
        <v>5231</v>
      </c>
      <c r="N183" s="97">
        <v>5755</v>
      </c>
      <c r="O183" s="88">
        <f t="shared" si="4"/>
        <v>6330.5</v>
      </c>
      <c r="P183" s="88"/>
      <c r="Q183" s="2"/>
      <c r="R183" s="2"/>
    </row>
    <row r="184" spans="2:18" x14ac:dyDescent="0.2">
      <c r="B184" s="10">
        <v>8423</v>
      </c>
      <c r="C184" s="10" t="s">
        <v>208</v>
      </c>
      <c r="D184" s="13" t="s">
        <v>313</v>
      </c>
      <c r="E184" s="89">
        <v>8715</v>
      </c>
      <c r="F184" s="2"/>
      <c r="G184" s="2"/>
      <c r="I184" s="81">
        <v>8470</v>
      </c>
      <c r="J184" s="2">
        <f t="shared" si="5"/>
        <v>9317</v>
      </c>
      <c r="K184" s="88">
        <v>9317</v>
      </c>
      <c r="N184" s="89">
        <v>10245</v>
      </c>
      <c r="O184" s="88">
        <f t="shared" si="4"/>
        <v>11269.5</v>
      </c>
      <c r="P184" s="88"/>
      <c r="Q184" s="2"/>
      <c r="R184" s="2"/>
    </row>
    <row r="185" spans="2:18" x14ac:dyDescent="0.2">
      <c r="B185" s="10">
        <v>8443</v>
      </c>
      <c r="C185" s="10" t="s">
        <v>209</v>
      </c>
      <c r="D185" s="13" t="s">
        <v>313</v>
      </c>
      <c r="E185" s="89">
        <v>15518</v>
      </c>
      <c r="F185" s="2"/>
      <c r="G185" s="2"/>
      <c r="I185" s="16">
        <v>8470</v>
      </c>
      <c r="J185" s="2">
        <f t="shared" si="5"/>
        <v>9317</v>
      </c>
      <c r="K185" s="88">
        <v>9317</v>
      </c>
      <c r="N185" s="97">
        <v>10245</v>
      </c>
      <c r="O185" s="88">
        <f t="shared" si="4"/>
        <v>11269.5</v>
      </c>
      <c r="P185" s="88"/>
      <c r="Q185" s="2"/>
      <c r="R185" s="2"/>
    </row>
    <row r="186" spans="2:18" x14ac:dyDescent="0.2">
      <c r="B186" s="10">
        <v>8445</v>
      </c>
      <c r="C186" s="10" t="s">
        <v>210</v>
      </c>
      <c r="D186" s="13" t="s">
        <v>313</v>
      </c>
      <c r="E186" s="89">
        <v>15518</v>
      </c>
      <c r="F186" s="2"/>
      <c r="G186" s="2"/>
      <c r="I186" s="81">
        <v>2445</v>
      </c>
      <c r="J186" s="2">
        <f t="shared" si="5"/>
        <v>2689.5</v>
      </c>
      <c r="K186" s="88">
        <v>2690</v>
      </c>
      <c r="N186" s="89">
        <v>4070</v>
      </c>
      <c r="O186" s="88">
        <f t="shared" si="4"/>
        <v>4477</v>
      </c>
      <c r="P186" s="88"/>
      <c r="Q186" s="2"/>
      <c r="R186" s="2"/>
    </row>
    <row r="187" spans="2:18" x14ac:dyDescent="0.2">
      <c r="B187" s="10">
        <v>8447</v>
      </c>
      <c r="C187" s="10" t="s">
        <v>211</v>
      </c>
      <c r="D187" s="13" t="s">
        <v>313</v>
      </c>
      <c r="E187" s="89">
        <v>6162</v>
      </c>
      <c r="F187" s="2"/>
      <c r="G187" s="2"/>
      <c r="I187" s="16">
        <v>980</v>
      </c>
      <c r="J187" s="2">
        <f t="shared" si="5"/>
        <v>1078</v>
      </c>
      <c r="K187" s="88">
        <v>1078</v>
      </c>
      <c r="N187" s="97">
        <v>1190</v>
      </c>
      <c r="O187" s="88">
        <f t="shared" si="4"/>
        <v>1309</v>
      </c>
      <c r="P187" s="88"/>
      <c r="Q187" s="2"/>
      <c r="R187" s="2"/>
    </row>
    <row r="188" spans="2:18" x14ac:dyDescent="0.2">
      <c r="B188" s="10">
        <v>8514</v>
      </c>
      <c r="C188" s="10" t="s">
        <v>212</v>
      </c>
      <c r="D188" s="13" t="s">
        <v>313</v>
      </c>
      <c r="E188" s="89">
        <v>1804</v>
      </c>
      <c r="F188" s="2"/>
      <c r="G188" s="2"/>
      <c r="I188" s="81">
        <v>545</v>
      </c>
      <c r="J188" s="2">
        <f t="shared" si="5"/>
        <v>599.5</v>
      </c>
      <c r="K188" s="88">
        <v>600</v>
      </c>
      <c r="N188" s="89">
        <v>660</v>
      </c>
      <c r="O188" s="88">
        <f t="shared" si="4"/>
        <v>726</v>
      </c>
      <c r="P188" s="88"/>
      <c r="Q188" s="2"/>
      <c r="R188" s="2"/>
    </row>
    <row r="189" spans="2:18" x14ac:dyDescent="0.2">
      <c r="B189" s="10">
        <v>8515</v>
      </c>
      <c r="C189" s="10" t="s">
        <v>213</v>
      </c>
      <c r="D189" s="13" t="s">
        <v>313</v>
      </c>
      <c r="E189" s="89">
        <v>998</v>
      </c>
      <c r="F189" s="2"/>
      <c r="G189" s="2"/>
      <c r="I189" s="16">
        <v>565</v>
      </c>
      <c r="J189" s="2">
        <f t="shared" si="5"/>
        <v>621.5</v>
      </c>
      <c r="K189" s="88">
        <v>622</v>
      </c>
      <c r="N189" s="97">
        <v>680</v>
      </c>
      <c r="O189" s="88">
        <f t="shared" si="4"/>
        <v>748</v>
      </c>
      <c r="P189" s="88"/>
      <c r="Q189" s="2"/>
      <c r="R189" s="2"/>
    </row>
    <row r="190" spans="2:18" x14ac:dyDescent="0.2">
      <c r="B190" s="10">
        <v>8516</v>
      </c>
      <c r="C190" s="10" t="s">
        <v>214</v>
      </c>
      <c r="D190" s="13" t="s">
        <v>313</v>
      </c>
      <c r="E190" s="89">
        <v>1033</v>
      </c>
      <c r="F190" s="2"/>
      <c r="G190" s="2"/>
      <c r="I190" s="81">
        <v>2320</v>
      </c>
      <c r="J190" s="2">
        <f t="shared" si="5"/>
        <v>2552</v>
      </c>
      <c r="K190" s="88">
        <v>2552</v>
      </c>
      <c r="N190" s="89">
        <v>2805</v>
      </c>
      <c r="O190" s="88">
        <f t="shared" si="4"/>
        <v>3085.5</v>
      </c>
      <c r="P190" s="88"/>
      <c r="Q190" s="2"/>
      <c r="R190" s="2"/>
    </row>
    <row r="191" spans="2:18" x14ac:dyDescent="0.2">
      <c r="B191" s="10">
        <v>8517</v>
      </c>
      <c r="C191" s="10" t="s">
        <v>215</v>
      </c>
      <c r="D191" s="13" t="s">
        <v>313</v>
      </c>
      <c r="E191" s="89">
        <v>4248</v>
      </c>
      <c r="F191" s="2"/>
      <c r="G191" s="2"/>
      <c r="I191" s="16">
        <v>565</v>
      </c>
      <c r="J191" s="2">
        <f t="shared" si="5"/>
        <v>621.5</v>
      </c>
      <c r="K191" s="88">
        <v>622</v>
      </c>
      <c r="N191" s="97">
        <v>680</v>
      </c>
      <c r="O191" s="88">
        <f t="shared" si="4"/>
        <v>748</v>
      </c>
      <c r="P191" s="88"/>
      <c r="Q191" s="2"/>
      <c r="R191" s="2"/>
    </row>
    <row r="192" spans="2:18" x14ac:dyDescent="0.2">
      <c r="B192" s="10">
        <v>8518</v>
      </c>
      <c r="C192" s="10" t="s">
        <v>216</v>
      </c>
      <c r="D192" s="13" t="s">
        <v>313</v>
      </c>
      <c r="E192" s="89">
        <v>1033</v>
      </c>
      <c r="F192" s="2"/>
      <c r="G192" s="2"/>
      <c r="I192" s="81">
        <v>10610</v>
      </c>
      <c r="J192" s="2">
        <f t="shared" si="5"/>
        <v>11671</v>
      </c>
      <c r="K192" s="88">
        <v>11671</v>
      </c>
      <c r="N192" s="89">
        <v>12835</v>
      </c>
      <c r="O192" s="88">
        <f t="shared" si="4"/>
        <v>14118.5</v>
      </c>
      <c r="P192" s="88"/>
      <c r="Q192" s="2"/>
      <c r="R192" s="2"/>
    </row>
    <row r="193" spans="2:18" x14ac:dyDescent="0.2">
      <c r="B193" s="10">
        <v>8533</v>
      </c>
      <c r="C193" s="10" t="s">
        <v>217</v>
      </c>
      <c r="D193" s="13" t="s">
        <v>313</v>
      </c>
      <c r="E193" s="89">
        <v>19443</v>
      </c>
      <c r="F193" s="2"/>
      <c r="G193" s="2"/>
      <c r="I193" s="16">
        <v>9145</v>
      </c>
      <c r="J193" s="2">
        <f t="shared" si="5"/>
        <v>10059.5</v>
      </c>
      <c r="K193" s="88">
        <v>10060</v>
      </c>
      <c r="N193" s="97">
        <v>11065</v>
      </c>
      <c r="O193" s="88">
        <f t="shared" si="4"/>
        <v>12171.5</v>
      </c>
      <c r="P193" s="88"/>
      <c r="Q193" s="2"/>
      <c r="R193" s="2"/>
    </row>
    <row r="194" spans="2:18" x14ac:dyDescent="0.2">
      <c r="B194" s="10">
        <v>8534</v>
      </c>
      <c r="C194" s="10" t="s">
        <v>218</v>
      </c>
      <c r="D194" s="13" t="s">
        <v>313</v>
      </c>
      <c r="E194" s="89">
        <v>16758</v>
      </c>
      <c r="F194" s="2"/>
      <c r="G194" s="2"/>
      <c r="I194" s="81">
        <v>6655</v>
      </c>
      <c r="J194" s="2">
        <f t="shared" si="5"/>
        <v>7320.5</v>
      </c>
      <c r="K194" s="88">
        <v>7321</v>
      </c>
      <c r="N194" s="89">
        <v>8050</v>
      </c>
      <c r="O194" s="88">
        <f t="shared" si="4"/>
        <v>8855</v>
      </c>
      <c r="P194" s="88"/>
      <c r="Q194" s="2"/>
      <c r="R194" s="2"/>
    </row>
    <row r="195" spans="2:18" x14ac:dyDescent="0.2">
      <c r="B195" s="10">
        <v>8537</v>
      </c>
      <c r="C195" s="10" t="s">
        <v>219</v>
      </c>
      <c r="D195" s="13" t="s">
        <v>313</v>
      </c>
      <c r="E195" s="89">
        <v>12192</v>
      </c>
      <c r="F195" s="2">
        <f ca="1">F195:G298</f>
        <v>0</v>
      </c>
      <c r="G195" s="2">
        <v>3146.5</v>
      </c>
      <c r="I195" s="16">
        <v>6655</v>
      </c>
      <c r="J195" s="2">
        <f t="shared" si="5"/>
        <v>7320.5</v>
      </c>
      <c r="K195" s="88">
        <v>7321</v>
      </c>
      <c r="N195" s="97">
        <v>8050</v>
      </c>
      <c r="O195" s="88">
        <f t="shared" si="4"/>
        <v>8855</v>
      </c>
      <c r="P195" s="88"/>
      <c r="Q195" s="2"/>
      <c r="R195" s="2"/>
    </row>
    <row r="196" spans="2:18" x14ac:dyDescent="0.2">
      <c r="B196" s="10">
        <v>8538</v>
      </c>
      <c r="C196" s="10" t="s">
        <v>220</v>
      </c>
      <c r="D196" s="13" t="s">
        <v>313</v>
      </c>
      <c r="E196" s="89">
        <v>12192</v>
      </c>
      <c r="F196" s="2"/>
      <c r="G196" s="2"/>
      <c r="I196" s="81">
        <v>3360</v>
      </c>
      <c r="J196" s="2">
        <f t="shared" si="5"/>
        <v>3696</v>
      </c>
      <c r="K196" s="88">
        <v>3693</v>
      </c>
      <c r="N196" s="89">
        <v>4070</v>
      </c>
      <c r="O196" s="88">
        <f t="shared" si="4"/>
        <v>4477</v>
      </c>
      <c r="P196" s="88"/>
      <c r="Q196" s="2"/>
      <c r="R196" s="2"/>
    </row>
    <row r="197" spans="2:18" x14ac:dyDescent="0.2">
      <c r="B197" s="10">
        <v>8543</v>
      </c>
      <c r="C197" s="10" t="s">
        <v>221</v>
      </c>
      <c r="D197" s="13" t="s">
        <v>313</v>
      </c>
      <c r="E197" s="89">
        <v>6162</v>
      </c>
      <c r="F197" s="2"/>
      <c r="G197" s="2"/>
      <c r="I197" s="16">
        <v>3360</v>
      </c>
      <c r="J197" s="2">
        <f t="shared" si="5"/>
        <v>3696</v>
      </c>
      <c r="K197" s="88">
        <v>3696</v>
      </c>
      <c r="N197" s="97">
        <v>4070</v>
      </c>
      <c r="O197" s="88">
        <f t="shared" si="4"/>
        <v>4477</v>
      </c>
      <c r="P197" s="88"/>
      <c r="Q197" s="2"/>
      <c r="R197" s="2"/>
    </row>
    <row r="198" spans="2:18" x14ac:dyDescent="0.2">
      <c r="B198" s="10">
        <v>8544</v>
      </c>
      <c r="C198" s="10" t="s">
        <v>222</v>
      </c>
      <c r="D198" s="13" t="s">
        <v>313</v>
      </c>
      <c r="E198" s="89">
        <v>6162</v>
      </c>
      <c r="F198" s="2"/>
      <c r="G198" s="2"/>
      <c r="I198" s="81">
        <v>6655</v>
      </c>
      <c r="J198" s="2">
        <f t="shared" si="5"/>
        <v>7320.5</v>
      </c>
      <c r="K198" s="88">
        <v>7321</v>
      </c>
      <c r="N198" s="89">
        <v>8050</v>
      </c>
      <c r="O198" s="88">
        <f t="shared" si="4"/>
        <v>8855</v>
      </c>
      <c r="P198" s="88"/>
      <c r="Q198" s="2"/>
      <c r="R198" s="2"/>
    </row>
    <row r="199" spans="2:18" x14ac:dyDescent="0.2">
      <c r="B199" s="10">
        <v>8547</v>
      </c>
      <c r="C199" s="10" t="s">
        <v>223</v>
      </c>
      <c r="D199" s="13" t="s">
        <v>313</v>
      </c>
      <c r="E199" s="89">
        <v>12192</v>
      </c>
      <c r="F199" s="2"/>
      <c r="G199" s="2">
        <v>596.75</v>
      </c>
      <c r="I199" s="16">
        <v>6655</v>
      </c>
      <c r="J199" s="2">
        <f t="shared" si="5"/>
        <v>7320.5</v>
      </c>
      <c r="K199" s="88">
        <v>7321</v>
      </c>
      <c r="N199" s="97">
        <v>8050</v>
      </c>
      <c r="O199" s="88">
        <f t="shared" si="4"/>
        <v>8855</v>
      </c>
      <c r="P199" s="88"/>
      <c r="Q199" s="2"/>
      <c r="R199" s="2"/>
    </row>
    <row r="200" spans="2:18" x14ac:dyDescent="0.2">
      <c r="B200" s="10">
        <v>8548</v>
      </c>
      <c r="C200" s="10" t="s">
        <v>224</v>
      </c>
      <c r="D200" s="13" t="s">
        <v>313</v>
      </c>
      <c r="E200" s="89">
        <v>12192</v>
      </c>
      <c r="F200" s="2"/>
      <c r="G200" s="2">
        <v>2712.5</v>
      </c>
      <c r="I200" s="81">
        <v>1300</v>
      </c>
      <c r="J200" s="2">
        <f t="shared" si="5"/>
        <v>1430</v>
      </c>
      <c r="K200" s="88">
        <v>1430</v>
      </c>
      <c r="N200" s="89">
        <v>1575</v>
      </c>
      <c r="O200" s="88">
        <f t="shared" si="4"/>
        <v>1732.5</v>
      </c>
      <c r="P200" s="88"/>
      <c r="Q200" s="2"/>
      <c r="R200" s="2"/>
    </row>
    <row r="201" spans="2:18" x14ac:dyDescent="0.2">
      <c r="B201" s="10">
        <v>8551</v>
      </c>
      <c r="C201" s="10" t="s">
        <v>225</v>
      </c>
      <c r="D201" s="13" t="s">
        <v>317</v>
      </c>
      <c r="E201" s="89">
        <v>2382</v>
      </c>
      <c r="F201" s="2">
        <v>2374.4628250000001</v>
      </c>
      <c r="G201" s="2"/>
      <c r="I201" s="16">
        <v>6970</v>
      </c>
      <c r="J201" s="2">
        <f t="shared" si="5"/>
        <v>7667</v>
      </c>
      <c r="K201" s="88">
        <v>7667</v>
      </c>
      <c r="N201" s="97">
        <v>8435</v>
      </c>
      <c r="O201" s="88">
        <f t="shared" si="4"/>
        <v>9278.5</v>
      </c>
      <c r="P201" s="88"/>
      <c r="Q201" s="2"/>
      <c r="R201" s="2"/>
    </row>
    <row r="202" spans="2:18" x14ac:dyDescent="0.2">
      <c r="B202" s="10">
        <v>8552</v>
      </c>
      <c r="C202" s="10" t="s">
        <v>226</v>
      </c>
      <c r="D202" s="13" t="s">
        <v>316</v>
      </c>
      <c r="E202" s="89">
        <v>12771</v>
      </c>
      <c r="F202" s="2">
        <v>3580.5</v>
      </c>
      <c r="G202" s="2"/>
      <c r="I202" s="81">
        <v>1300</v>
      </c>
      <c r="J202" s="2">
        <f t="shared" si="5"/>
        <v>1430</v>
      </c>
      <c r="K202" s="88">
        <v>1430</v>
      </c>
      <c r="N202" s="89">
        <v>1575</v>
      </c>
      <c r="O202" s="88">
        <f t="shared" si="4"/>
        <v>1732.5</v>
      </c>
      <c r="P202" s="88"/>
      <c r="Q202" s="2"/>
      <c r="R202" s="2"/>
    </row>
    <row r="203" spans="2:18" x14ac:dyDescent="0.2">
      <c r="B203" s="10">
        <v>8553</v>
      </c>
      <c r="C203" s="10" t="s">
        <v>227</v>
      </c>
      <c r="D203" s="13" t="s">
        <v>317</v>
      </c>
      <c r="E203" s="89">
        <v>2381</v>
      </c>
      <c r="F203" s="2">
        <v>1497.3</v>
      </c>
      <c r="G203" s="2"/>
      <c r="I203" s="16">
        <v>1835</v>
      </c>
      <c r="J203" s="2">
        <f t="shared" si="5"/>
        <v>2018.5</v>
      </c>
      <c r="K203" s="88">
        <v>2019</v>
      </c>
      <c r="N203" s="97">
        <v>2220</v>
      </c>
      <c r="O203" s="88">
        <f t="shared" si="4"/>
        <v>2442</v>
      </c>
      <c r="P203" s="88"/>
      <c r="Q203" s="2"/>
      <c r="R203" s="2"/>
    </row>
    <row r="204" spans="2:18" x14ac:dyDescent="0.2">
      <c r="B204" s="10">
        <v>8554</v>
      </c>
      <c r="C204" s="10" t="s">
        <v>228</v>
      </c>
      <c r="D204" s="13" t="s">
        <v>316</v>
      </c>
      <c r="E204" s="89">
        <v>3359</v>
      </c>
      <c r="F204" s="2">
        <v>4231.5</v>
      </c>
      <c r="G204" s="2"/>
      <c r="I204" s="81">
        <v>3360</v>
      </c>
      <c r="J204" s="2">
        <f t="shared" si="5"/>
        <v>3696</v>
      </c>
      <c r="K204" s="88">
        <v>3696</v>
      </c>
      <c r="N204" s="89">
        <v>4070</v>
      </c>
      <c r="O204" s="88">
        <f t="shared" si="4"/>
        <v>4477</v>
      </c>
      <c r="P204" s="88"/>
      <c r="Q204" s="2"/>
      <c r="R204" s="2"/>
    </row>
    <row r="205" spans="2:18" x14ac:dyDescent="0.2">
      <c r="B205" s="10">
        <v>8573</v>
      </c>
      <c r="C205" s="10" t="s">
        <v>229</v>
      </c>
      <c r="D205" s="13" t="s">
        <v>313</v>
      </c>
      <c r="E205" s="89">
        <v>6162</v>
      </c>
      <c r="F205" s="2">
        <v>1030.75</v>
      </c>
      <c r="G205" s="2"/>
      <c r="I205" s="16">
        <v>3360</v>
      </c>
      <c r="J205" s="2">
        <f t="shared" si="5"/>
        <v>3696</v>
      </c>
      <c r="K205" s="88">
        <v>3696</v>
      </c>
      <c r="N205" s="97">
        <v>4070</v>
      </c>
      <c r="O205" s="88">
        <f t="shared" si="4"/>
        <v>4477</v>
      </c>
      <c r="P205" s="88"/>
      <c r="Q205" s="2"/>
      <c r="R205" s="2"/>
    </row>
    <row r="206" spans="2:18" x14ac:dyDescent="0.2">
      <c r="B206" s="10">
        <v>8574</v>
      </c>
      <c r="C206" s="10" t="s">
        <v>230</v>
      </c>
      <c r="D206" s="13" t="s">
        <v>313</v>
      </c>
      <c r="E206" s="89">
        <v>6162</v>
      </c>
      <c r="F206" s="2">
        <v>759.5</v>
      </c>
      <c r="G206" s="2"/>
      <c r="I206" s="81">
        <v>1580</v>
      </c>
      <c r="J206" s="2">
        <f t="shared" si="5"/>
        <v>1738</v>
      </c>
      <c r="K206" s="88">
        <v>1738</v>
      </c>
      <c r="N206" s="89">
        <v>1915</v>
      </c>
      <c r="O206" s="88">
        <f t="shared" si="4"/>
        <v>2106.5</v>
      </c>
      <c r="P206" s="88"/>
      <c r="Q206" s="2"/>
      <c r="R206" s="2"/>
    </row>
    <row r="207" spans="2:18" x14ac:dyDescent="0.2">
      <c r="B207" s="10">
        <v>8578</v>
      </c>
      <c r="C207" s="10" t="s">
        <v>231</v>
      </c>
      <c r="D207" s="13" t="s">
        <v>313</v>
      </c>
      <c r="E207" s="89">
        <v>2898</v>
      </c>
      <c r="F207" s="2">
        <v>1222.144</v>
      </c>
      <c r="G207" s="2"/>
      <c r="I207" s="16">
        <v>6060</v>
      </c>
      <c r="J207" s="2">
        <f t="shared" si="5"/>
        <v>6666</v>
      </c>
      <c r="K207" s="88">
        <v>6666</v>
      </c>
      <c r="N207" s="97">
        <v>7330</v>
      </c>
      <c r="O207" s="88">
        <f t="shared" si="4"/>
        <v>8063</v>
      </c>
      <c r="P207" s="88"/>
      <c r="Q207" s="2"/>
      <c r="R207" s="2"/>
    </row>
    <row r="208" spans="2:18" x14ac:dyDescent="0.2">
      <c r="B208" s="10">
        <v>8579</v>
      </c>
      <c r="C208" s="10" t="s">
        <v>232</v>
      </c>
      <c r="D208" s="13" t="s">
        <v>313</v>
      </c>
      <c r="E208" s="89">
        <v>11105</v>
      </c>
      <c r="F208" s="2">
        <v>1414.2975000000001</v>
      </c>
      <c r="G208" s="2"/>
      <c r="I208" s="81">
        <v>12850</v>
      </c>
      <c r="J208" s="2">
        <f t="shared" si="5"/>
        <v>14135</v>
      </c>
      <c r="K208" s="88">
        <v>14135</v>
      </c>
      <c r="N208" s="89">
        <v>15550</v>
      </c>
      <c r="O208" s="88">
        <f t="shared" si="4"/>
        <v>17105</v>
      </c>
      <c r="P208" s="88"/>
      <c r="Q208" s="2"/>
      <c r="R208" s="2"/>
    </row>
    <row r="209" spans="2:18" x14ac:dyDescent="0.2">
      <c r="B209" s="10">
        <v>8584</v>
      </c>
      <c r="C209" s="10" t="s">
        <v>233</v>
      </c>
      <c r="D209" s="13" t="s">
        <v>313</v>
      </c>
      <c r="E209" s="89">
        <v>23552</v>
      </c>
      <c r="F209" s="2">
        <v>2019.2392500000001</v>
      </c>
      <c r="G209" s="2"/>
      <c r="I209" s="16">
        <v>12850</v>
      </c>
      <c r="J209" s="2">
        <f t="shared" si="5"/>
        <v>14135</v>
      </c>
      <c r="K209" s="88">
        <v>14135</v>
      </c>
      <c r="N209" s="97">
        <v>15550</v>
      </c>
      <c r="O209" s="88">
        <f t="shared" si="4"/>
        <v>17105</v>
      </c>
      <c r="P209" s="88"/>
      <c r="Q209" s="2"/>
      <c r="R209" s="2"/>
    </row>
    <row r="210" spans="2:18" x14ac:dyDescent="0.2">
      <c r="B210" s="10">
        <v>8585</v>
      </c>
      <c r="C210" s="10" t="s">
        <v>234</v>
      </c>
      <c r="D210" s="13" t="s">
        <v>313</v>
      </c>
      <c r="E210" s="89">
        <v>23552</v>
      </c>
      <c r="F210" s="2">
        <v>2049.9013500000001</v>
      </c>
      <c r="G210" s="2"/>
      <c r="I210" s="81">
        <v>4730</v>
      </c>
      <c r="J210" s="2">
        <f t="shared" si="5"/>
        <v>5203</v>
      </c>
      <c r="K210" s="88">
        <v>5203</v>
      </c>
      <c r="N210" s="89">
        <v>5720</v>
      </c>
      <c r="O210" s="88">
        <f t="shared" si="4"/>
        <v>6292</v>
      </c>
      <c r="P210" s="88"/>
      <c r="Q210" s="2"/>
      <c r="R210" s="2"/>
    </row>
    <row r="211" spans="2:18" x14ac:dyDescent="0.2">
      <c r="B211" s="10">
        <v>8586</v>
      </c>
      <c r="C211" s="10" t="s">
        <v>235</v>
      </c>
      <c r="D211" s="13" t="s">
        <v>313</v>
      </c>
      <c r="E211" s="89">
        <v>8661</v>
      </c>
      <c r="F211" s="2">
        <v>2224.25</v>
      </c>
      <c r="G211" s="2"/>
      <c r="I211" s="16">
        <v>3360</v>
      </c>
      <c r="J211" s="2">
        <f t="shared" si="5"/>
        <v>3696</v>
      </c>
      <c r="K211" s="88">
        <v>3696</v>
      </c>
      <c r="N211" s="97">
        <v>4070</v>
      </c>
      <c r="O211" s="88">
        <f t="shared" si="4"/>
        <v>4477</v>
      </c>
      <c r="P211" s="88"/>
      <c r="Q211" s="2"/>
      <c r="R211" s="2"/>
    </row>
    <row r="212" spans="2:18" x14ac:dyDescent="0.2">
      <c r="B212" s="10">
        <v>8587</v>
      </c>
      <c r="C212" s="10" t="s">
        <v>195</v>
      </c>
      <c r="D212" s="13" t="s">
        <v>313</v>
      </c>
      <c r="E212" s="89">
        <v>6162</v>
      </c>
      <c r="F212" s="2">
        <v>2732.5833500000003</v>
      </c>
      <c r="G212" s="2"/>
      <c r="I212" s="81">
        <v>625</v>
      </c>
      <c r="J212" s="2">
        <f t="shared" si="5"/>
        <v>687.5</v>
      </c>
      <c r="K212" s="88">
        <v>688</v>
      </c>
      <c r="N212" s="89">
        <v>990</v>
      </c>
      <c r="O212" s="88">
        <f t="shared" si="4"/>
        <v>1089</v>
      </c>
      <c r="P212" s="88"/>
      <c r="Q212" s="2"/>
      <c r="R212" s="2"/>
    </row>
    <row r="213" spans="2:18" x14ac:dyDescent="0.2">
      <c r="B213" s="10">
        <v>8590</v>
      </c>
      <c r="C213" s="10" t="s">
        <v>236</v>
      </c>
      <c r="D213" s="13" t="s">
        <v>313</v>
      </c>
      <c r="E213" s="89">
        <v>1501</v>
      </c>
      <c r="F213" s="2">
        <v>3420.03935</v>
      </c>
      <c r="G213" s="2"/>
      <c r="I213" s="16">
        <v>655</v>
      </c>
      <c r="J213" s="2">
        <f t="shared" si="5"/>
        <v>720.5</v>
      </c>
      <c r="K213" s="88">
        <v>721</v>
      </c>
      <c r="N213" s="97">
        <v>790</v>
      </c>
      <c r="O213" s="88">
        <f t="shared" si="4"/>
        <v>869</v>
      </c>
      <c r="P213" s="88"/>
      <c r="Q213" s="2"/>
      <c r="R213" s="2"/>
    </row>
    <row r="214" spans="2:18" x14ac:dyDescent="0.2">
      <c r="B214" s="10">
        <v>8594</v>
      </c>
      <c r="C214" s="10" t="s">
        <v>237</v>
      </c>
      <c r="D214" s="13" t="s">
        <v>313</v>
      </c>
      <c r="E214" s="89">
        <v>1198</v>
      </c>
      <c r="F214" s="2">
        <v>3473.74685</v>
      </c>
      <c r="G214" s="2"/>
      <c r="I214" s="81">
        <v>655</v>
      </c>
      <c r="J214" s="2">
        <f t="shared" si="5"/>
        <v>720.5</v>
      </c>
      <c r="K214" s="88">
        <v>721</v>
      </c>
      <c r="N214" s="89">
        <v>790</v>
      </c>
      <c r="O214" s="88">
        <f t="shared" si="4"/>
        <v>869</v>
      </c>
      <c r="P214" s="88"/>
      <c r="Q214" s="2"/>
      <c r="R214" s="2"/>
    </row>
    <row r="215" spans="2:18" x14ac:dyDescent="0.2">
      <c r="B215" s="10">
        <v>8595</v>
      </c>
      <c r="C215" s="10" t="s">
        <v>238</v>
      </c>
      <c r="D215" s="13" t="s">
        <v>313</v>
      </c>
      <c r="E215" s="89">
        <v>1198</v>
      </c>
      <c r="F215" s="2">
        <v>3505.9713499999998</v>
      </c>
      <c r="G215" s="2"/>
      <c r="I215" s="16">
        <v>655</v>
      </c>
      <c r="J215" s="2">
        <f t="shared" si="5"/>
        <v>720.5</v>
      </c>
      <c r="K215" s="88">
        <v>721</v>
      </c>
      <c r="N215" s="97">
        <v>790</v>
      </c>
      <c r="O215" s="88">
        <f t="shared" si="4"/>
        <v>869</v>
      </c>
      <c r="P215" s="88"/>
      <c r="Q215" s="2"/>
      <c r="R215" s="2"/>
    </row>
    <row r="216" spans="2:18" x14ac:dyDescent="0.2">
      <c r="B216" s="10">
        <v>8597</v>
      </c>
      <c r="C216" s="10" t="s">
        <v>239</v>
      </c>
      <c r="D216" s="13" t="s">
        <v>313</v>
      </c>
      <c r="E216" s="89">
        <v>1198</v>
      </c>
      <c r="F216" s="2">
        <v>3580.5</v>
      </c>
      <c r="G216" s="2"/>
      <c r="I216" s="81">
        <v>655</v>
      </c>
      <c r="J216" s="2">
        <f t="shared" si="5"/>
        <v>720.5</v>
      </c>
      <c r="K216" s="88">
        <v>721</v>
      </c>
      <c r="N216" s="89">
        <v>790</v>
      </c>
      <c r="O216" s="88">
        <f t="shared" si="4"/>
        <v>869</v>
      </c>
      <c r="P216" s="88"/>
      <c r="Q216" s="2"/>
      <c r="R216" s="2"/>
    </row>
    <row r="217" spans="2:18" x14ac:dyDescent="0.2">
      <c r="B217" s="10">
        <v>8598</v>
      </c>
      <c r="C217" s="10" t="s">
        <v>240</v>
      </c>
      <c r="D217" s="13" t="s">
        <v>313</v>
      </c>
      <c r="E217" s="89">
        <v>1198</v>
      </c>
      <c r="F217" s="2">
        <v>5316.5</v>
      </c>
      <c r="G217" s="2"/>
      <c r="I217" s="16">
        <v>1000</v>
      </c>
      <c r="J217" s="2">
        <f t="shared" si="5"/>
        <v>1100</v>
      </c>
      <c r="K217" s="88">
        <v>1100</v>
      </c>
      <c r="N217" s="97">
        <v>1935</v>
      </c>
      <c r="O217" s="88">
        <f t="shared" si="4"/>
        <v>2128.5</v>
      </c>
      <c r="P217" s="88"/>
      <c r="Q217" s="2"/>
      <c r="R217" s="2"/>
    </row>
    <row r="218" spans="2:18" x14ac:dyDescent="0.2">
      <c r="B218" s="10">
        <v>8599</v>
      </c>
      <c r="C218" s="10" t="s">
        <v>241</v>
      </c>
      <c r="D218" s="13" t="s">
        <v>313</v>
      </c>
      <c r="E218" s="89">
        <v>2932</v>
      </c>
      <c r="F218" s="2">
        <v>4123</v>
      </c>
      <c r="G218" s="2"/>
      <c r="I218" s="81">
        <v>2850</v>
      </c>
      <c r="J218" s="2">
        <f t="shared" si="5"/>
        <v>3135</v>
      </c>
      <c r="K218" s="88">
        <v>3135</v>
      </c>
      <c r="N218" s="89">
        <v>3450</v>
      </c>
      <c r="O218" s="88">
        <f t="shared" si="4"/>
        <v>3795</v>
      </c>
      <c r="P218" s="88"/>
      <c r="Q218" s="2"/>
      <c r="R218" s="2"/>
    </row>
    <row r="219" spans="2:18" x14ac:dyDescent="0.2">
      <c r="B219" s="10">
        <v>8617</v>
      </c>
      <c r="C219" s="10" t="s">
        <v>242</v>
      </c>
      <c r="D219" s="13" t="s">
        <v>313</v>
      </c>
      <c r="E219" s="102">
        <v>5226</v>
      </c>
      <c r="F219" s="2">
        <v>5767.3717500000002</v>
      </c>
      <c r="G219" s="2"/>
      <c r="I219" s="16">
        <v>2850</v>
      </c>
      <c r="J219" s="2">
        <f t="shared" si="5"/>
        <v>3135</v>
      </c>
      <c r="K219" s="88">
        <v>3135</v>
      </c>
      <c r="N219" s="97">
        <v>3450</v>
      </c>
      <c r="O219" s="88">
        <f t="shared" si="4"/>
        <v>3795</v>
      </c>
      <c r="P219" s="88"/>
      <c r="Q219" s="2"/>
      <c r="R219" s="2"/>
    </row>
    <row r="220" spans="2:18" x14ac:dyDescent="0.2">
      <c r="B220" s="10">
        <v>8618</v>
      </c>
      <c r="C220" s="10" t="s">
        <v>243</v>
      </c>
      <c r="D220" s="13" t="s">
        <v>313</v>
      </c>
      <c r="E220" s="89">
        <v>5226</v>
      </c>
      <c r="F220" s="2">
        <v>7404.0942500000001</v>
      </c>
      <c r="G220" s="2"/>
      <c r="I220" s="81">
        <v>7130</v>
      </c>
      <c r="J220" s="2">
        <f t="shared" si="5"/>
        <v>7843</v>
      </c>
      <c r="K220" s="88">
        <v>7843</v>
      </c>
      <c r="N220" s="89">
        <v>8630</v>
      </c>
      <c r="O220" s="88">
        <f t="shared" si="4"/>
        <v>9493</v>
      </c>
      <c r="P220" s="88"/>
      <c r="Q220" s="2"/>
      <c r="R220" s="2"/>
    </row>
    <row r="221" spans="2:18" x14ac:dyDescent="0.2">
      <c r="B221" s="10">
        <v>8652</v>
      </c>
      <c r="C221" s="10" t="s">
        <v>244</v>
      </c>
      <c r="D221" s="13" t="s">
        <v>313</v>
      </c>
      <c r="E221" s="89">
        <v>13074</v>
      </c>
      <c r="F221" s="2">
        <v>9040.7950500000006</v>
      </c>
      <c r="G221" s="2"/>
      <c r="I221" s="16">
        <v>5710</v>
      </c>
      <c r="J221" s="2">
        <f t="shared" si="5"/>
        <v>6281</v>
      </c>
      <c r="K221" s="88">
        <v>6281</v>
      </c>
      <c r="N221" s="97">
        <v>6910</v>
      </c>
      <c r="O221" s="88">
        <f t="shared" si="4"/>
        <v>7601</v>
      </c>
      <c r="P221" s="88"/>
      <c r="Q221" s="2"/>
      <c r="R221" s="2"/>
    </row>
    <row r="222" spans="2:18" x14ac:dyDescent="0.2">
      <c r="B222" s="10">
        <v>8653</v>
      </c>
      <c r="C222" s="10" t="s">
        <v>245</v>
      </c>
      <c r="D222" s="13" t="s">
        <v>313</v>
      </c>
      <c r="E222" s="89">
        <v>10465</v>
      </c>
      <c r="F222" s="2">
        <v>11315.302250000001</v>
      </c>
      <c r="G222" s="2"/>
      <c r="I222" s="81">
        <v>13865</v>
      </c>
      <c r="J222" s="2">
        <f t="shared" si="5"/>
        <v>15251.5</v>
      </c>
      <c r="K222" s="88">
        <v>15252</v>
      </c>
      <c r="N222" s="89">
        <v>16775</v>
      </c>
      <c r="O222" s="88">
        <f t="shared" si="4"/>
        <v>18452.5</v>
      </c>
      <c r="P222" s="88"/>
      <c r="Q222" s="2"/>
      <c r="R222" s="2"/>
    </row>
    <row r="223" spans="2:18" x14ac:dyDescent="0.2">
      <c r="B223" s="10">
        <v>8654</v>
      </c>
      <c r="C223" s="10" t="s">
        <v>246</v>
      </c>
      <c r="D223" s="13" t="s">
        <v>313</v>
      </c>
      <c r="E223" s="89">
        <v>25404</v>
      </c>
      <c r="F223" s="2">
        <v>0</v>
      </c>
      <c r="G223" s="2"/>
      <c r="I223" s="16">
        <v>9145</v>
      </c>
      <c r="J223" s="2">
        <f t="shared" si="5"/>
        <v>10059.5</v>
      </c>
      <c r="K223" s="88">
        <v>10060</v>
      </c>
      <c r="N223" s="97">
        <v>11065</v>
      </c>
      <c r="O223" s="88">
        <f t="shared" ref="O223:O292" si="6">N223+(N223*0.1)</f>
        <v>12171.5</v>
      </c>
      <c r="P223" s="88"/>
      <c r="Q223" s="2"/>
      <c r="R223" s="2"/>
    </row>
    <row r="224" spans="2:18" x14ac:dyDescent="0.2">
      <c r="B224" s="10">
        <v>8655</v>
      </c>
      <c r="C224" s="10" t="s">
        <v>247</v>
      </c>
      <c r="D224" s="13" t="s">
        <v>313</v>
      </c>
      <c r="E224" s="89">
        <v>16758</v>
      </c>
      <c r="F224" s="2">
        <v>868</v>
      </c>
      <c r="G224" s="2"/>
      <c r="I224" s="81">
        <v>750</v>
      </c>
      <c r="J224" s="2">
        <f t="shared" si="5"/>
        <v>825</v>
      </c>
      <c r="K224" s="88">
        <v>825</v>
      </c>
      <c r="N224" s="89">
        <v>905</v>
      </c>
      <c r="O224" s="88">
        <f t="shared" si="6"/>
        <v>995.5</v>
      </c>
      <c r="P224" s="88"/>
      <c r="Q224" s="2"/>
      <c r="R224" s="2"/>
    </row>
    <row r="225" spans="2:18" x14ac:dyDescent="0.2">
      <c r="B225" s="10">
        <v>8657</v>
      </c>
      <c r="C225" s="10" t="s">
        <v>248</v>
      </c>
      <c r="D225" s="13" t="s">
        <v>313</v>
      </c>
      <c r="E225" s="89">
        <v>1371</v>
      </c>
      <c r="F225" s="2">
        <v>1302</v>
      </c>
      <c r="G225" s="2"/>
      <c r="I225" s="16">
        <v>7130</v>
      </c>
      <c r="J225" s="2">
        <f t="shared" si="5"/>
        <v>7843</v>
      </c>
      <c r="K225" s="88">
        <v>7843</v>
      </c>
      <c r="N225" s="97">
        <v>8630</v>
      </c>
      <c r="O225" s="88">
        <f t="shared" si="6"/>
        <v>9493</v>
      </c>
      <c r="P225" s="88"/>
      <c r="Q225" s="2"/>
      <c r="R225" s="2"/>
    </row>
    <row r="226" spans="2:18" x14ac:dyDescent="0.2">
      <c r="B226" s="10">
        <v>8658</v>
      </c>
      <c r="C226" s="10" t="s">
        <v>249</v>
      </c>
      <c r="D226" s="13" t="s">
        <v>313</v>
      </c>
      <c r="E226" s="89">
        <v>13704</v>
      </c>
      <c r="F226">
        <v>0</v>
      </c>
      <c r="I226" s="81">
        <v>5710</v>
      </c>
      <c r="J226" s="2">
        <f t="shared" si="5"/>
        <v>6281</v>
      </c>
      <c r="K226" s="88">
        <v>6281</v>
      </c>
      <c r="N226" s="89">
        <v>6910</v>
      </c>
      <c r="O226" s="88">
        <f t="shared" si="6"/>
        <v>7601</v>
      </c>
      <c r="P226" s="88"/>
      <c r="Q226" s="2"/>
      <c r="R226" s="2"/>
    </row>
    <row r="227" spans="2:18" x14ac:dyDescent="0.2">
      <c r="B227" s="10">
        <v>8659</v>
      </c>
      <c r="C227" s="10" t="s">
        <v>250</v>
      </c>
      <c r="D227" s="13" t="s">
        <v>313</v>
      </c>
      <c r="E227" s="89">
        <v>10465</v>
      </c>
      <c r="F227" s="2">
        <v>0</v>
      </c>
      <c r="G227" s="2"/>
      <c r="I227" s="16">
        <v>1650</v>
      </c>
      <c r="J227" s="2">
        <f t="shared" si="5"/>
        <v>1815</v>
      </c>
      <c r="K227" s="88">
        <v>1815</v>
      </c>
      <c r="N227" s="97">
        <v>1995</v>
      </c>
      <c r="O227" s="88">
        <f t="shared" si="6"/>
        <v>2194.5</v>
      </c>
      <c r="P227" s="88"/>
      <c r="Q227" s="2"/>
      <c r="R227" s="2"/>
    </row>
    <row r="228" spans="2:18" x14ac:dyDescent="0.2">
      <c r="B228" s="10">
        <v>8660</v>
      </c>
      <c r="C228" s="10" t="s">
        <v>251</v>
      </c>
      <c r="D228" s="13" t="s">
        <v>313</v>
      </c>
      <c r="E228" s="89">
        <v>3023</v>
      </c>
      <c r="F228" s="2">
        <v>0</v>
      </c>
      <c r="G228" s="2"/>
      <c r="I228" s="81">
        <v>6655</v>
      </c>
      <c r="J228" s="2">
        <f t="shared" si="5"/>
        <v>7320.5</v>
      </c>
      <c r="K228" s="88">
        <v>7321</v>
      </c>
      <c r="N228" s="89">
        <v>8050</v>
      </c>
      <c r="O228" s="88">
        <f t="shared" si="6"/>
        <v>8855</v>
      </c>
      <c r="P228" s="88"/>
      <c r="Q228" s="2"/>
      <c r="R228" s="2"/>
    </row>
    <row r="229" spans="2:18" x14ac:dyDescent="0.2">
      <c r="B229" s="10">
        <v>8669</v>
      </c>
      <c r="C229" s="10" t="s">
        <v>252</v>
      </c>
      <c r="D229" s="13" t="s">
        <v>313</v>
      </c>
      <c r="E229" s="89">
        <v>12192</v>
      </c>
      <c r="F229" s="2">
        <v>0</v>
      </c>
      <c r="G229" s="2"/>
      <c r="I229" s="16">
        <v>765</v>
      </c>
      <c r="J229" s="2">
        <f t="shared" si="5"/>
        <v>841.5</v>
      </c>
      <c r="K229" s="88">
        <v>842</v>
      </c>
      <c r="N229" s="97">
        <v>925</v>
      </c>
      <c r="O229" s="88">
        <f t="shared" si="6"/>
        <v>1017.5</v>
      </c>
      <c r="P229" s="88"/>
      <c r="Q229" s="2"/>
      <c r="R229" s="2"/>
    </row>
    <row r="230" spans="2:18" x14ac:dyDescent="0.2">
      <c r="B230" s="10">
        <v>8670</v>
      </c>
      <c r="C230" s="10" t="s">
        <v>253</v>
      </c>
      <c r="D230" s="13" t="s">
        <v>313</v>
      </c>
      <c r="E230" s="89">
        <v>1397</v>
      </c>
      <c r="F230" s="2">
        <v>0</v>
      </c>
      <c r="G230" s="2"/>
      <c r="I230" s="81">
        <v>1225</v>
      </c>
      <c r="J230" s="2">
        <f t="shared" ref="J230:J295" si="7">I230+(I230*0.1)</f>
        <v>1347.5</v>
      </c>
      <c r="K230" s="88">
        <v>1348</v>
      </c>
      <c r="N230" s="89">
        <v>1485</v>
      </c>
      <c r="O230" s="88">
        <f t="shared" si="6"/>
        <v>1633.5</v>
      </c>
      <c r="P230" s="88"/>
      <c r="Q230" s="2"/>
      <c r="R230" s="2"/>
    </row>
    <row r="231" spans="2:18" x14ac:dyDescent="0.2">
      <c r="B231" s="10">
        <v>8723</v>
      </c>
      <c r="C231" s="10" t="s">
        <v>254</v>
      </c>
      <c r="D231" s="13" t="s">
        <v>319</v>
      </c>
      <c r="E231" s="89">
        <v>2252</v>
      </c>
      <c r="F231" s="2">
        <v>0</v>
      </c>
      <c r="G231" s="2"/>
      <c r="I231" s="16">
        <v>1635</v>
      </c>
      <c r="J231" s="2">
        <f t="shared" si="7"/>
        <v>1798.5</v>
      </c>
      <c r="K231" s="88">
        <v>1799</v>
      </c>
      <c r="N231" s="97">
        <v>1980</v>
      </c>
      <c r="O231" s="88">
        <f t="shared" si="6"/>
        <v>2178</v>
      </c>
      <c r="P231" s="88"/>
      <c r="Q231" s="2"/>
      <c r="R231" s="2"/>
    </row>
    <row r="232" spans="2:18" x14ac:dyDescent="0.2">
      <c r="B232" s="10">
        <v>8725</v>
      </c>
      <c r="C232" s="10" t="s">
        <v>255</v>
      </c>
      <c r="D232" s="13" t="s">
        <v>319</v>
      </c>
      <c r="E232" s="89">
        <v>3001</v>
      </c>
      <c r="F232" s="2">
        <v>0</v>
      </c>
      <c r="G232" s="2"/>
      <c r="I232" s="81">
        <v>625</v>
      </c>
      <c r="J232" s="2">
        <f t="shared" si="7"/>
        <v>687.5</v>
      </c>
      <c r="K232" s="88">
        <v>688</v>
      </c>
      <c r="N232" s="89">
        <v>760</v>
      </c>
      <c r="O232" s="88">
        <f t="shared" si="6"/>
        <v>836</v>
      </c>
      <c r="P232" s="88"/>
      <c r="Q232" s="2"/>
      <c r="R232" s="2"/>
    </row>
    <row r="233" spans="2:18" x14ac:dyDescent="0.2">
      <c r="B233" s="10">
        <v>8727</v>
      </c>
      <c r="C233" s="10" t="s">
        <v>256</v>
      </c>
      <c r="D233" s="13" t="s">
        <v>319</v>
      </c>
      <c r="E233" s="89">
        <v>1150</v>
      </c>
      <c r="F233" s="2">
        <v>0</v>
      </c>
      <c r="G233" s="2"/>
      <c r="I233" s="16">
        <v>1155</v>
      </c>
      <c r="J233" s="2">
        <f t="shared" si="7"/>
        <v>1270.5</v>
      </c>
      <c r="K233" s="88">
        <v>1271</v>
      </c>
      <c r="N233" s="97">
        <v>400</v>
      </c>
      <c r="O233" s="88">
        <f t="shared" si="6"/>
        <v>440</v>
      </c>
      <c r="P233" s="88"/>
      <c r="Q233" s="2"/>
      <c r="R233" s="2"/>
    </row>
    <row r="234" spans="2:18" x14ac:dyDescent="0.2">
      <c r="B234" s="10">
        <v>8731</v>
      </c>
      <c r="C234" s="10" t="s">
        <v>257</v>
      </c>
      <c r="D234" s="13" t="s">
        <v>320</v>
      </c>
      <c r="E234" s="89">
        <v>2021</v>
      </c>
      <c r="F234" s="2">
        <v>0</v>
      </c>
      <c r="G234" s="2"/>
      <c r="I234" s="81">
        <v>2645</v>
      </c>
      <c r="J234" s="2">
        <f t="shared" si="7"/>
        <v>2909.5</v>
      </c>
      <c r="K234" s="88">
        <v>2910</v>
      </c>
      <c r="N234" s="89">
        <v>3200</v>
      </c>
      <c r="O234" s="88">
        <f t="shared" si="6"/>
        <v>3520</v>
      </c>
      <c r="P234" s="88"/>
      <c r="Q234" s="2"/>
      <c r="R234" s="2"/>
    </row>
    <row r="235" spans="2:18" x14ac:dyDescent="0.2">
      <c r="B235" s="10">
        <v>8737</v>
      </c>
      <c r="C235" s="10" t="s">
        <v>258</v>
      </c>
      <c r="D235" s="13" t="s">
        <v>319</v>
      </c>
      <c r="E235" s="102">
        <v>4847</v>
      </c>
      <c r="F235" s="2">
        <v>0</v>
      </c>
      <c r="G235" s="2"/>
      <c r="I235" s="16">
        <v>2375</v>
      </c>
      <c r="J235" s="2">
        <f t="shared" si="7"/>
        <v>2612.5</v>
      </c>
      <c r="K235" s="88">
        <v>2613</v>
      </c>
      <c r="N235" s="97">
        <v>2870</v>
      </c>
      <c r="O235" s="88">
        <f t="shared" si="6"/>
        <v>3157</v>
      </c>
      <c r="P235" s="88"/>
      <c r="Q235" s="2"/>
      <c r="R235" s="2"/>
    </row>
    <row r="236" spans="2:18" x14ac:dyDescent="0.2">
      <c r="B236" s="10">
        <v>8739</v>
      </c>
      <c r="C236" s="10" t="s">
        <v>259</v>
      </c>
      <c r="D236" s="13" t="s">
        <v>319</v>
      </c>
      <c r="E236" s="89">
        <v>4344</v>
      </c>
      <c r="F236" s="2">
        <v>0</v>
      </c>
      <c r="G236" s="2"/>
      <c r="I236" s="81">
        <v>3475</v>
      </c>
      <c r="J236" s="2">
        <f t="shared" si="7"/>
        <v>3822.5</v>
      </c>
      <c r="K236" s="88">
        <v>3823</v>
      </c>
      <c r="N236" s="89">
        <v>4200</v>
      </c>
      <c r="O236" s="88">
        <f t="shared" si="6"/>
        <v>4620</v>
      </c>
      <c r="P236" s="88"/>
      <c r="Q236" s="2"/>
      <c r="R236" s="2"/>
    </row>
    <row r="237" spans="2:18" x14ac:dyDescent="0.2">
      <c r="B237" s="10">
        <v>8741</v>
      </c>
      <c r="C237" s="10" t="s">
        <v>260</v>
      </c>
      <c r="D237" s="13" t="s">
        <v>319</v>
      </c>
      <c r="E237" s="89">
        <v>6362</v>
      </c>
      <c r="F237" s="2">
        <v>0</v>
      </c>
      <c r="G237" s="2"/>
      <c r="I237" s="16">
        <v>2755</v>
      </c>
      <c r="J237" s="2">
        <f t="shared" si="7"/>
        <v>3030.5</v>
      </c>
      <c r="K237" s="88">
        <v>3031</v>
      </c>
      <c r="N237" s="97">
        <v>3335</v>
      </c>
      <c r="O237" s="88">
        <f t="shared" si="6"/>
        <v>3668.5</v>
      </c>
      <c r="P237" s="88"/>
      <c r="Q237" s="2"/>
      <c r="R237" s="2"/>
    </row>
    <row r="238" spans="2:18" x14ac:dyDescent="0.2">
      <c r="B238" s="10">
        <v>8743</v>
      </c>
      <c r="C238" s="10" t="s">
        <v>261</v>
      </c>
      <c r="D238" s="13" t="s">
        <v>319</v>
      </c>
      <c r="E238" s="199">
        <v>5054</v>
      </c>
      <c r="F238" s="2">
        <v>0</v>
      </c>
      <c r="G238" s="2"/>
      <c r="I238" s="81">
        <v>10350</v>
      </c>
      <c r="J238" s="2">
        <f t="shared" si="7"/>
        <v>11385</v>
      </c>
      <c r="K238" s="88">
        <v>11385</v>
      </c>
      <c r="N238" s="89">
        <v>12525</v>
      </c>
      <c r="O238" s="88">
        <f t="shared" si="6"/>
        <v>13777.5</v>
      </c>
      <c r="P238" s="88"/>
      <c r="Q238" s="2"/>
      <c r="R238" s="2"/>
    </row>
    <row r="239" spans="2:18" x14ac:dyDescent="0.2">
      <c r="B239" s="10">
        <v>8746</v>
      </c>
      <c r="C239" s="10" t="s">
        <v>262</v>
      </c>
      <c r="D239" s="13" t="s">
        <v>319</v>
      </c>
      <c r="E239" s="102">
        <v>18967</v>
      </c>
      <c r="F239" s="2">
        <v>0</v>
      </c>
      <c r="G239" s="2"/>
      <c r="I239" s="16">
        <v>10350</v>
      </c>
      <c r="J239" s="2">
        <f t="shared" si="7"/>
        <v>11385</v>
      </c>
      <c r="K239" s="88">
        <v>11385</v>
      </c>
      <c r="N239" s="97">
        <v>12525</v>
      </c>
      <c r="O239" s="88">
        <f t="shared" si="6"/>
        <v>13777.5</v>
      </c>
      <c r="P239" s="88"/>
      <c r="Q239" s="2"/>
      <c r="R239" s="2"/>
    </row>
    <row r="240" spans="2:18" x14ac:dyDescent="0.2">
      <c r="B240" s="10">
        <v>8747</v>
      </c>
      <c r="C240" s="10" t="s">
        <v>263</v>
      </c>
      <c r="D240" s="13" t="s">
        <v>319</v>
      </c>
      <c r="E240" s="89">
        <v>18967</v>
      </c>
      <c r="F240" s="2">
        <v>0</v>
      </c>
      <c r="G240" s="2"/>
      <c r="I240" s="81">
        <v>10890</v>
      </c>
      <c r="J240" s="2">
        <f t="shared" si="7"/>
        <v>11979</v>
      </c>
      <c r="K240" s="88">
        <v>11979</v>
      </c>
      <c r="N240" s="89">
        <v>13180</v>
      </c>
      <c r="O240" s="88">
        <f t="shared" si="6"/>
        <v>14498</v>
      </c>
      <c r="P240" s="88"/>
      <c r="Q240" s="2"/>
      <c r="R240" s="2"/>
    </row>
    <row r="241" spans="2:18" x14ac:dyDescent="0.2">
      <c r="B241" s="10">
        <v>8748</v>
      </c>
      <c r="C241" s="10" t="s">
        <v>264</v>
      </c>
      <c r="D241" s="13" t="s">
        <v>319</v>
      </c>
      <c r="E241" s="89">
        <v>18967</v>
      </c>
      <c r="F241" s="2">
        <v>0</v>
      </c>
      <c r="G241" s="2"/>
      <c r="I241" s="16">
        <v>10020</v>
      </c>
      <c r="J241" s="2">
        <f t="shared" si="7"/>
        <v>11022</v>
      </c>
      <c r="K241" s="88">
        <v>11022</v>
      </c>
      <c r="N241" s="97">
        <v>12120</v>
      </c>
      <c r="O241" s="88">
        <f t="shared" si="6"/>
        <v>13332</v>
      </c>
      <c r="P241" s="88"/>
      <c r="Q241" s="2"/>
      <c r="R241" s="2"/>
    </row>
    <row r="242" spans="2:18" x14ac:dyDescent="0.2">
      <c r="B242" s="10">
        <v>8749</v>
      </c>
      <c r="C242" s="10" t="s">
        <v>265</v>
      </c>
      <c r="D242" s="13" t="s">
        <v>319</v>
      </c>
      <c r="E242" s="89">
        <v>19965</v>
      </c>
      <c r="F242" s="2">
        <v>0</v>
      </c>
      <c r="G242" s="2"/>
      <c r="I242" s="81">
        <v>9775</v>
      </c>
      <c r="J242" s="2">
        <f t="shared" si="7"/>
        <v>10752.5</v>
      </c>
      <c r="K242" s="88">
        <v>10753</v>
      </c>
      <c r="N242" s="89">
        <v>11825</v>
      </c>
      <c r="O242" s="88">
        <f t="shared" si="6"/>
        <v>13007.5</v>
      </c>
      <c r="P242" s="88"/>
      <c r="Q242" s="2"/>
      <c r="R242" s="2"/>
    </row>
    <row r="243" spans="2:18" x14ac:dyDescent="0.2">
      <c r="B243" s="10">
        <v>8753</v>
      </c>
      <c r="C243" s="10" t="s">
        <v>266</v>
      </c>
      <c r="D243" s="13" t="s">
        <v>319</v>
      </c>
      <c r="E243" s="89">
        <v>18354</v>
      </c>
      <c r="F243" s="2">
        <v>0</v>
      </c>
      <c r="G243" s="2"/>
      <c r="I243" s="16">
        <v>4805</v>
      </c>
      <c r="J243" s="2">
        <f t="shared" si="7"/>
        <v>5285.5</v>
      </c>
      <c r="K243" s="88">
        <v>5286</v>
      </c>
      <c r="N243" s="97">
        <v>5815</v>
      </c>
      <c r="O243" s="88">
        <f t="shared" si="6"/>
        <v>6396.5</v>
      </c>
      <c r="P243" s="88"/>
      <c r="Q243" s="2"/>
      <c r="R243" s="2"/>
    </row>
    <row r="244" spans="2:18" x14ac:dyDescent="0.2">
      <c r="B244" s="10">
        <v>8756</v>
      </c>
      <c r="C244" s="10" t="s">
        <v>267</v>
      </c>
      <c r="D244" s="13" t="s">
        <v>319</v>
      </c>
      <c r="E244" s="89">
        <v>8806</v>
      </c>
      <c r="F244" s="2">
        <v>0</v>
      </c>
      <c r="G244" s="2"/>
      <c r="I244" s="81">
        <v>3430</v>
      </c>
      <c r="J244" s="2">
        <f t="shared" si="7"/>
        <v>3773</v>
      </c>
      <c r="K244" s="88">
        <v>3773</v>
      </c>
      <c r="N244" s="89">
        <v>4150</v>
      </c>
      <c r="O244" s="88">
        <f t="shared" si="6"/>
        <v>4565</v>
      </c>
      <c r="P244" s="88"/>
      <c r="Q244" s="2"/>
      <c r="R244" s="2"/>
    </row>
    <row r="245" spans="2:18" x14ac:dyDescent="0.2">
      <c r="B245" s="10">
        <v>8759</v>
      </c>
      <c r="C245" s="10" t="s">
        <v>268</v>
      </c>
      <c r="D245" s="13" t="s">
        <v>319</v>
      </c>
      <c r="E245" s="89">
        <v>6285</v>
      </c>
      <c r="F245" s="2">
        <v>0</v>
      </c>
      <c r="G245" s="2"/>
      <c r="I245" s="16">
        <v>2300</v>
      </c>
      <c r="J245" s="2">
        <f t="shared" si="7"/>
        <v>2530</v>
      </c>
      <c r="K245" s="88">
        <v>2530</v>
      </c>
      <c r="N245" s="97">
        <v>2785</v>
      </c>
      <c r="O245" s="88">
        <f t="shared" si="6"/>
        <v>3063.5</v>
      </c>
      <c r="P245" s="88"/>
      <c r="Q245" s="2"/>
      <c r="R245" s="2"/>
    </row>
    <row r="246" spans="2:18" x14ac:dyDescent="0.2">
      <c r="B246" s="10">
        <v>8766</v>
      </c>
      <c r="C246" s="10" t="s">
        <v>269</v>
      </c>
      <c r="D246" s="13" t="s">
        <v>319</v>
      </c>
      <c r="E246" s="89">
        <v>4220</v>
      </c>
      <c r="F246" s="2">
        <v>0</v>
      </c>
      <c r="G246" s="2"/>
      <c r="I246" s="86">
        <v>2300</v>
      </c>
      <c r="J246" s="2">
        <f t="shared" si="7"/>
        <v>2530</v>
      </c>
      <c r="K246" s="88">
        <v>2530</v>
      </c>
      <c r="N246" s="89">
        <v>2785</v>
      </c>
      <c r="O246" s="88">
        <f t="shared" si="6"/>
        <v>3063.5</v>
      </c>
      <c r="P246" s="88"/>
      <c r="Q246" s="2"/>
      <c r="R246" s="2"/>
    </row>
    <row r="247" spans="2:18" x14ac:dyDescent="0.2">
      <c r="B247" s="10">
        <v>8767</v>
      </c>
      <c r="C247" s="10" t="s">
        <v>270</v>
      </c>
      <c r="D247" s="13" t="s">
        <v>319</v>
      </c>
      <c r="E247" s="89">
        <v>4220</v>
      </c>
      <c r="F247" s="2">
        <v>0</v>
      </c>
      <c r="G247" s="2"/>
      <c r="I247" s="16">
        <v>2435</v>
      </c>
      <c r="J247" s="2">
        <f t="shared" si="7"/>
        <v>2678.5</v>
      </c>
      <c r="K247" s="88">
        <v>2679</v>
      </c>
      <c r="N247" s="97">
        <v>2950</v>
      </c>
      <c r="O247" s="88">
        <f t="shared" si="6"/>
        <v>3245</v>
      </c>
      <c r="P247" s="88"/>
      <c r="Q247" s="2"/>
      <c r="R247" s="2"/>
    </row>
    <row r="248" spans="2:18" x14ac:dyDescent="0.2">
      <c r="B248" s="10">
        <v>8768</v>
      </c>
      <c r="C248" s="10" t="s">
        <v>271</v>
      </c>
      <c r="D248" s="13" t="s">
        <v>319</v>
      </c>
      <c r="E248" s="89">
        <v>4469</v>
      </c>
      <c r="F248" s="2">
        <v>0</v>
      </c>
      <c r="G248" s="2"/>
      <c r="I248" s="81">
        <v>2215</v>
      </c>
      <c r="J248" s="2">
        <f t="shared" si="7"/>
        <v>2436.5</v>
      </c>
      <c r="K248" s="88">
        <v>2437</v>
      </c>
      <c r="N248" s="89">
        <v>2680</v>
      </c>
      <c r="O248" s="88">
        <f t="shared" si="6"/>
        <v>2948</v>
      </c>
      <c r="P248" s="88"/>
      <c r="Q248" s="2"/>
      <c r="R248" s="2"/>
    </row>
    <row r="249" spans="2:18" x14ac:dyDescent="0.2">
      <c r="B249" s="13" t="s">
        <v>59</v>
      </c>
      <c r="C249" s="10" t="s">
        <v>272</v>
      </c>
      <c r="D249" s="13" t="s">
        <v>319</v>
      </c>
      <c r="E249" s="89">
        <v>4062</v>
      </c>
      <c r="F249" s="2">
        <v>3580.5</v>
      </c>
      <c r="G249" s="2"/>
      <c r="I249" s="16">
        <v>2440</v>
      </c>
      <c r="J249" s="2">
        <f t="shared" si="7"/>
        <v>2684</v>
      </c>
      <c r="K249" s="88">
        <v>2684</v>
      </c>
      <c r="N249" s="97">
        <v>2955</v>
      </c>
      <c r="O249" s="88">
        <f t="shared" si="6"/>
        <v>3250.5</v>
      </c>
      <c r="P249" s="88"/>
      <c r="Q249" s="2"/>
      <c r="R249" s="2"/>
    </row>
    <row r="250" spans="2:18" x14ac:dyDescent="0.2">
      <c r="B250" s="13" t="s">
        <v>60</v>
      </c>
      <c r="C250" s="10" t="s">
        <v>273</v>
      </c>
      <c r="D250" s="13" t="s">
        <v>319</v>
      </c>
      <c r="E250" s="89">
        <v>4475</v>
      </c>
      <c r="F250" s="2">
        <v>3580.5</v>
      </c>
      <c r="G250" s="2"/>
      <c r="I250" s="81">
        <v>4610</v>
      </c>
      <c r="J250" s="2">
        <f t="shared" si="7"/>
        <v>5071</v>
      </c>
      <c r="K250" s="88">
        <v>5071</v>
      </c>
      <c r="N250" s="89">
        <v>5575</v>
      </c>
      <c r="O250" s="88">
        <f t="shared" si="6"/>
        <v>6132.5</v>
      </c>
      <c r="P250" s="88"/>
      <c r="Q250" s="2"/>
      <c r="R250" s="2"/>
    </row>
    <row r="251" spans="2:18" x14ac:dyDescent="0.2">
      <c r="B251" s="10">
        <v>8772</v>
      </c>
      <c r="C251" s="10" t="s">
        <v>274</v>
      </c>
      <c r="D251" s="13" t="s">
        <v>319</v>
      </c>
      <c r="E251" s="89">
        <v>8440</v>
      </c>
      <c r="F251" s="2">
        <v>0</v>
      </c>
      <c r="G251" s="2"/>
      <c r="I251" s="16">
        <v>2215</v>
      </c>
      <c r="J251" s="2">
        <f t="shared" si="7"/>
        <v>2436.5</v>
      </c>
      <c r="K251" s="88">
        <v>2437</v>
      </c>
      <c r="N251" s="97">
        <v>2680</v>
      </c>
      <c r="O251" s="88">
        <f t="shared" si="6"/>
        <v>2948</v>
      </c>
      <c r="P251" s="88"/>
      <c r="Q251" s="2"/>
      <c r="R251" s="2"/>
    </row>
    <row r="252" spans="2:18" x14ac:dyDescent="0.2">
      <c r="B252" s="10">
        <v>8774</v>
      </c>
      <c r="C252" s="10" t="s">
        <v>275</v>
      </c>
      <c r="D252" s="13" t="s">
        <v>319</v>
      </c>
      <c r="E252" s="204">
        <v>1288</v>
      </c>
      <c r="F252" s="2">
        <v>0</v>
      </c>
      <c r="G252" s="2"/>
      <c r="I252" s="81">
        <v>705</v>
      </c>
      <c r="J252" s="2">
        <f t="shared" si="7"/>
        <v>775.5</v>
      </c>
      <c r="K252" s="88">
        <v>776</v>
      </c>
      <c r="N252" s="89">
        <v>850</v>
      </c>
      <c r="O252" s="88">
        <f t="shared" si="6"/>
        <v>935</v>
      </c>
      <c r="P252" s="88"/>
      <c r="Q252" s="2"/>
      <c r="R252" s="2"/>
    </row>
    <row r="253" spans="2:18" x14ac:dyDescent="0.2">
      <c r="B253" s="10">
        <v>8787</v>
      </c>
      <c r="C253" s="10" t="s">
        <v>276</v>
      </c>
      <c r="D253" s="13" t="s">
        <v>319</v>
      </c>
      <c r="E253" s="89">
        <v>1288</v>
      </c>
      <c r="F253" s="2">
        <v>0</v>
      </c>
      <c r="G253" s="2"/>
      <c r="I253" s="16">
        <v>540</v>
      </c>
      <c r="J253" s="2">
        <f t="shared" si="7"/>
        <v>594</v>
      </c>
      <c r="K253" s="88">
        <v>594</v>
      </c>
      <c r="N253" s="97">
        <v>655</v>
      </c>
      <c r="O253" s="88">
        <f t="shared" si="6"/>
        <v>720.5</v>
      </c>
      <c r="P253" s="88"/>
      <c r="Q253" s="2"/>
      <c r="R253" s="2"/>
    </row>
    <row r="254" spans="2:18" x14ac:dyDescent="0.2">
      <c r="B254" s="10">
        <v>8825</v>
      </c>
      <c r="C254" s="10" t="s">
        <v>277</v>
      </c>
      <c r="D254" s="13" t="s">
        <v>321</v>
      </c>
      <c r="E254" s="204">
        <v>0</v>
      </c>
      <c r="F254" s="2">
        <v>2321.3575000000001</v>
      </c>
      <c r="G254" s="2"/>
      <c r="I254" s="81">
        <v>670</v>
      </c>
      <c r="J254" s="2">
        <f t="shared" si="7"/>
        <v>737</v>
      </c>
      <c r="K254" s="88">
        <v>737</v>
      </c>
      <c r="N254" s="89">
        <v>815</v>
      </c>
      <c r="O254" s="88">
        <f t="shared" si="6"/>
        <v>896.5</v>
      </c>
      <c r="P254" s="88"/>
      <c r="Q254" s="2"/>
      <c r="R254" s="2"/>
    </row>
    <row r="255" spans="2:18" x14ac:dyDescent="0.2">
      <c r="B255" s="10">
        <v>8846</v>
      </c>
      <c r="C255" s="10" t="s">
        <v>278</v>
      </c>
      <c r="D255" s="13" t="s">
        <v>321</v>
      </c>
      <c r="E255" s="89">
        <v>1233</v>
      </c>
      <c r="F255" s="2">
        <v>1222.144</v>
      </c>
      <c r="G255" s="2"/>
      <c r="I255" s="16"/>
      <c r="J255" s="2">
        <f t="shared" si="7"/>
        <v>0</v>
      </c>
      <c r="N255" s="97"/>
      <c r="O255" s="88">
        <f t="shared" si="6"/>
        <v>0</v>
      </c>
      <c r="P255" s="88"/>
      <c r="Q255" s="2"/>
      <c r="R255" s="2"/>
    </row>
    <row r="256" spans="2:18" x14ac:dyDescent="0.2">
      <c r="B256" s="10">
        <v>8847</v>
      </c>
      <c r="C256" s="10" t="s">
        <v>279</v>
      </c>
      <c r="D256" s="13" t="s">
        <v>321</v>
      </c>
      <c r="E256" s="205">
        <v>0</v>
      </c>
      <c r="F256" s="2">
        <v>1414.2975000000001</v>
      </c>
      <c r="G256" s="2"/>
      <c r="I256" s="81">
        <v>1105</v>
      </c>
      <c r="J256" s="2">
        <f t="shared" si="7"/>
        <v>1215.5</v>
      </c>
      <c r="K256" s="88">
        <v>1216</v>
      </c>
      <c r="N256" s="89">
        <v>1335</v>
      </c>
      <c r="O256" s="88">
        <f t="shared" si="6"/>
        <v>1468.5</v>
      </c>
      <c r="P256" s="88"/>
      <c r="Q256" s="2"/>
      <c r="R256" s="2"/>
    </row>
    <row r="257" spans="2:18" x14ac:dyDescent="0.2">
      <c r="B257" s="10">
        <v>8848</v>
      </c>
      <c r="C257" s="10" t="s">
        <v>280</v>
      </c>
      <c r="D257" s="13" t="s">
        <v>321</v>
      </c>
      <c r="E257" s="89">
        <v>2025</v>
      </c>
      <c r="F257" s="2">
        <v>2019.2392500000001</v>
      </c>
      <c r="G257" s="2"/>
      <c r="I257" s="81"/>
      <c r="J257" s="2"/>
      <c r="N257" s="89"/>
      <c r="O257" s="88"/>
      <c r="P257" s="88"/>
      <c r="Q257" s="2"/>
      <c r="R257" s="2"/>
    </row>
    <row r="258" spans="2:18" x14ac:dyDescent="0.2">
      <c r="B258" s="206">
        <v>8849</v>
      </c>
      <c r="C258" s="206" t="s">
        <v>281</v>
      </c>
      <c r="D258" s="207" t="s">
        <v>321</v>
      </c>
      <c r="E258" s="208">
        <v>1997</v>
      </c>
      <c r="F258" s="2">
        <v>2049.9013500000001</v>
      </c>
      <c r="G258" s="2"/>
      <c r="I258" s="16">
        <v>810</v>
      </c>
      <c r="J258" s="2">
        <f t="shared" si="7"/>
        <v>891</v>
      </c>
      <c r="K258" s="88">
        <v>891</v>
      </c>
      <c r="N258" s="97">
        <v>980</v>
      </c>
      <c r="O258" s="88">
        <f t="shared" si="6"/>
        <v>1078</v>
      </c>
      <c r="P258" s="88"/>
      <c r="Q258" s="2"/>
      <c r="R258" s="2"/>
    </row>
    <row r="259" spans="2:18" x14ac:dyDescent="0.2">
      <c r="B259" s="11" t="s">
        <v>439</v>
      </c>
      <c r="C259" s="10" t="s">
        <v>440</v>
      </c>
      <c r="D259" s="13" t="s">
        <v>321</v>
      </c>
      <c r="E259" s="102">
        <v>1997</v>
      </c>
      <c r="F259" s="2">
        <v>2049.9013500000001</v>
      </c>
      <c r="G259" s="2"/>
      <c r="I259" s="81">
        <v>4810</v>
      </c>
      <c r="J259" s="2">
        <f t="shared" si="7"/>
        <v>5291</v>
      </c>
      <c r="K259" s="88">
        <v>5291</v>
      </c>
      <c r="N259" s="89">
        <v>5820</v>
      </c>
      <c r="O259" s="88">
        <f t="shared" si="6"/>
        <v>6402</v>
      </c>
      <c r="P259" s="88"/>
      <c r="Q259" s="2"/>
      <c r="R259" s="2"/>
    </row>
    <row r="260" spans="2:18" x14ac:dyDescent="0.2">
      <c r="B260" s="10">
        <v>8852</v>
      </c>
      <c r="C260" s="10" t="s">
        <v>282</v>
      </c>
      <c r="D260" s="13" t="s">
        <v>317</v>
      </c>
      <c r="E260" s="89">
        <v>8812</v>
      </c>
      <c r="F260" s="2">
        <v>2224.25</v>
      </c>
      <c r="G260" s="2"/>
      <c r="I260" s="16">
        <v>5690</v>
      </c>
      <c r="J260" s="2">
        <f t="shared" si="7"/>
        <v>6259</v>
      </c>
      <c r="K260" s="88">
        <v>6259</v>
      </c>
      <c r="N260" s="97">
        <v>6885</v>
      </c>
      <c r="O260" s="88">
        <f t="shared" si="6"/>
        <v>7573.5</v>
      </c>
      <c r="P260" s="88"/>
      <c r="Q260" s="2"/>
      <c r="R260" s="2"/>
    </row>
    <row r="261" spans="2:18" x14ac:dyDescent="0.2">
      <c r="B261" s="10">
        <v>8862</v>
      </c>
      <c r="C261" s="10" t="s">
        <v>283</v>
      </c>
      <c r="D261" s="13" t="s">
        <v>321</v>
      </c>
      <c r="E261" s="89">
        <v>10424</v>
      </c>
      <c r="F261" s="2">
        <v>2732.5833500000003</v>
      </c>
      <c r="G261" s="2"/>
      <c r="I261" s="16"/>
      <c r="J261" s="2"/>
      <c r="N261" s="97"/>
      <c r="O261" s="88"/>
      <c r="P261" s="88"/>
      <c r="Q261" s="2"/>
      <c r="R261" s="2"/>
    </row>
    <row r="262" spans="2:18" x14ac:dyDescent="0.2">
      <c r="B262" s="188" t="s">
        <v>507</v>
      </c>
      <c r="C262" s="188" t="s">
        <v>502</v>
      </c>
      <c r="D262" s="189" t="s">
        <v>321</v>
      </c>
      <c r="E262" s="190">
        <v>10424</v>
      </c>
      <c r="F262" s="2">
        <v>0</v>
      </c>
      <c r="G262" s="2"/>
      <c r="I262" s="16"/>
      <c r="J262" s="2"/>
      <c r="N262" s="97"/>
      <c r="O262" s="88"/>
      <c r="P262" s="88"/>
      <c r="Q262" s="2"/>
      <c r="R262" s="2"/>
    </row>
    <row r="263" spans="2:18" x14ac:dyDescent="0.2">
      <c r="B263" s="188" t="s">
        <v>508</v>
      </c>
      <c r="C263" s="188" t="s">
        <v>503</v>
      </c>
      <c r="D263" s="189" t="s">
        <v>321</v>
      </c>
      <c r="E263" s="190">
        <v>10424</v>
      </c>
      <c r="F263" s="2">
        <v>0</v>
      </c>
      <c r="G263" s="2"/>
      <c r="I263" s="16"/>
      <c r="J263" s="2"/>
      <c r="N263" s="97"/>
      <c r="O263" s="88"/>
      <c r="P263" s="88"/>
      <c r="Q263" s="2"/>
      <c r="R263" s="2"/>
    </row>
    <row r="264" spans="2:18" x14ac:dyDescent="0.2">
      <c r="B264" s="188" t="s">
        <v>509</v>
      </c>
      <c r="C264" s="188" t="s">
        <v>504</v>
      </c>
      <c r="D264" s="189" t="s">
        <v>321</v>
      </c>
      <c r="E264" s="190">
        <v>10424</v>
      </c>
      <c r="F264" s="2">
        <v>0</v>
      </c>
      <c r="G264" s="2"/>
      <c r="I264" s="16"/>
      <c r="J264" s="2"/>
      <c r="N264" s="97"/>
      <c r="O264" s="88"/>
      <c r="P264" s="88"/>
      <c r="Q264" s="2"/>
      <c r="R264" s="2"/>
    </row>
    <row r="265" spans="2:18" x14ac:dyDescent="0.2">
      <c r="B265" s="188" t="s">
        <v>510</v>
      </c>
      <c r="C265" s="188" t="s">
        <v>505</v>
      </c>
      <c r="D265" s="189" t="s">
        <v>321</v>
      </c>
      <c r="E265" s="190">
        <v>10424</v>
      </c>
      <c r="F265" s="2">
        <v>0</v>
      </c>
      <c r="G265" s="2"/>
      <c r="I265" s="16"/>
      <c r="J265" s="2"/>
      <c r="N265" s="97"/>
      <c r="O265" s="88"/>
      <c r="P265" s="88"/>
      <c r="Q265" s="2"/>
      <c r="R265" s="2"/>
    </row>
    <row r="266" spans="2:18" x14ac:dyDescent="0.2">
      <c r="B266" s="188" t="s">
        <v>511</v>
      </c>
      <c r="C266" s="188" t="s">
        <v>506</v>
      </c>
      <c r="D266" s="189" t="s">
        <v>321</v>
      </c>
      <c r="E266" s="190">
        <v>10424</v>
      </c>
      <c r="F266" s="2">
        <v>0</v>
      </c>
      <c r="G266" s="2"/>
      <c r="I266" s="87">
        <v>13010</v>
      </c>
      <c r="J266" s="2">
        <f t="shared" si="7"/>
        <v>14311</v>
      </c>
      <c r="K266" s="88">
        <v>14311</v>
      </c>
      <c r="N266" s="89">
        <v>15740</v>
      </c>
      <c r="O266" s="88">
        <f t="shared" si="6"/>
        <v>17314</v>
      </c>
      <c r="P266" s="88"/>
      <c r="Q266" s="2"/>
      <c r="R266" s="2"/>
    </row>
    <row r="267" spans="2:18" x14ac:dyDescent="0.2">
      <c r="B267" s="10">
        <v>8867</v>
      </c>
      <c r="C267" s="10" t="s">
        <v>284</v>
      </c>
      <c r="D267" s="13" t="s">
        <v>321</v>
      </c>
      <c r="E267" s="102">
        <v>23841</v>
      </c>
      <c r="F267" s="2">
        <v>3420.03935</v>
      </c>
      <c r="G267" s="2"/>
      <c r="I267" s="16">
        <v>40020</v>
      </c>
      <c r="J267" s="2">
        <f t="shared" si="7"/>
        <v>44022</v>
      </c>
      <c r="K267" s="88">
        <v>44020</v>
      </c>
      <c r="N267" s="97">
        <v>40020</v>
      </c>
      <c r="O267" s="88">
        <f t="shared" si="6"/>
        <v>44022</v>
      </c>
      <c r="P267" s="88"/>
      <c r="Q267" s="2"/>
      <c r="R267" s="2"/>
    </row>
    <row r="268" spans="2:18" x14ac:dyDescent="0.2">
      <c r="B268" s="10">
        <v>8885</v>
      </c>
      <c r="C268" s="10" t="s">
        <v>285</v>
      </c>
      <c r="D268" s="13" t="s">
        <v>321</v>
      </c>
      <c r="E268" s="204">
        <v>20289.5</v>
      </c>
      <c r="F268" s="2">
        <v>3473.74685</v>
      </c>
      <c r="G268" s="2"/>
      <c r="I268" s="81">
        <v>0</v>
      </c>
      <c r="J268" s="2">
        <f t="shared" si="7"/>
        <v>0</v>
      </c>
      <c r="N268" s="89"/>
      <c r="O268" s="88">
        <f t="shared" si="6"/>
        <v>0</v>
      </c>
      <c r="P268" s="88"/>
      <c r="Q268" s="2"/>
      <c r="R268" s="2"/>
    </row>
    <row r="269" spans="2:18" x14ac:dyDescent="0.2">
      <c r="B269" s="191">
        <v>8890</v>
      </c>
      <c r="C269" s="191" t="s">
        <v>286</v>
      </c>
      <c r="D269" s="192" t="s">
        <v>321</v>
      </c>
      <c r="E269" s="204">
        <v>0</v>
      </c>
      <c r="F269" s="2">
        <v>3505.9713499999998</v>
      </c>
      <c r="G269" s="2"/>
      <c r="I269" s="16">
        <v>0</v>
      </c>
      <c r="J269" s="2">
        <f t="shared" si="7"/>
        <v>0</v>
      </c>
      <c r="N269" s="97"/>
      <c r="O269" s="88">
        <f t="shared" si="6"/>
        <v>0</v>
      </c>
      <c r="P269" s="88"/>
      <c r="Q269" s="2"/>
      <c r="R269" s="2"/>
    </row>
    <row r="270" spans="2:18" x14ac:dyDescent="0.2">
      <c r="B270" s="10">
        <v>8892</v>
      </c>
      <c r="C270" s="10" t="s">
        <v>287</v>
      </c>
      <c r="D270" s="13" t="s">
        <v>321</v>
      </c>
      <c r="E270" s="204">
        <v>0</v>
      </c>
      <c r="F270" s="2">
        <v>4340</v>
      </c>
      <c r="G270" s="2"/>
      <c r="I270" s="81">
        <v>540</v>
      </c>
      <c r="J270" s="2">
        <f t="shared" si="7"/>
        <v>594</v>
      </c>
      <c r="K270" s="88">
        <v>594</v>
      </c>
      <c r="N270" s="89">
        <v>655</v>
      </c>
      <c r="O270" s="88">
        <f t="shared" si="6"/>
        <v>720.5</v>
      </c>
      <c r="P270" s="88"/>
      <c r="Q270" s="2"/>
      <c r="R270" s="2"/>
    </row>
    <row r="271" spans="2:18" x14ac:dyDescent="0.2">
      <c r="B271" s="10">
        <v>8893</v>
      </c>
      <c r="C271" s="10" t="s">
        <v>288</v>
      </c>
      <c r="D271" s="13" t="s">
        <v>322</v>
      </c>
      <c r="E271" s="89">
        <v>992</v>
      </c>
      <c r="F271" s="2">
        <v>3580.5</v>
      </c>
      <c r="G271" s="2"/>
      <c r="I271" s="16">
        <v>455</v>
      </c>
      <c r="J271" s="2">
        <f t="shared" si="7"/>
        <v>500.5</v>
      </c>
      <c r="K271" s="88">
        <v>501</v>
      </c>
      <c r="N271" s="97">
        <v>550</v>
      </c>
      <c r="O271" s="88">
        <f t="shared" si="6"/>
        <v>605</v>
      </c>
      <c r="P271" s="88"/>
      <c r="Q271" s="2"/>
      <c r="R271" s="2"/>
    </row>
    <row r="272" spans="2:18" x14ac:dyDescent="0.2">
      <c r="B272" s="10">
        <v>8931</v>
      </c>
      <c r="C272" s="10" t="s">
        <v>289</v>
      </c>
      <c r="D272" s="13" t="s">
        <v>313</v>
      </c>
      <c r="E272" s="89">
        <v>832</v>
      </c>
      <c r="F272" s="2">
        <v>5316.5</v>
      </c>
      <c r="G272" s="2"/>
      <c r="I272" s="81">
        <v>455</v>
      </c>
      <c r="J272" s="2">
        <f t="shared" si="7"/>
        <v>500.5</v>
      </c>
      <c r="K272" s="88">
        <v>501</v>
      </c>
      <c r="N272" s="89">
        <v>550</v>
      </c>
      <c r="O272" s="88">
        <f t="shared" si="6"/>
        <v>605</v>
      </c>
      <c r="P272" s="88"/>
      <c r="Q272" s="2"/>
      <c r="R272" s="2"/>
    </row>
    <row r="273" spans="2:18" x14ac:dyDescent="0.2">
      <c r="B273" s="10">
        <v>8935</v>
      </c>
      <c r="C273" s="10" t="s">
        <v>290</v>
      </c>
      <c r="D273" s="13" t="s">
        <v>313</v>
      </c>
      <c r="E273" s="89">
        <v>832</v>
      </c>
      <c r="F273" s="2">
        <v>4123</v>
      </c>
      <c r="G273" s="2"/>
      <c r="I273" s="16">
        <v>2750</v>
      </c>
      <c r="J273" s="2">
        <f t="shared" si="7"/>
        <v>3025</v>
      </c>
      <c r="K273" s="88">
        <v>3025</v>
      </c>
      <c r="N273" s="97">
        <v>3325</v>
      </c>
      <c r="O273" s="88">
        <f t="shared" si="6"/>
        <v>3657.5</v>
      </c>
      <c r="P273" s="88"/>
      <c r="Q273" s="2"/>
      <c r="R273" s="2"/>
    </row>
    <row r="274" spans="2:18" x14ac:dyDescent="0.2">
      <c r="B274" s="10"/>
      <c r="C274" s="10"/>
      <c r="D274" s="13"/>
      <c r="E274" s="89"/>
      <c r="F274" s="2"/>
      <c r="G274" s="2"/>
      <c r="I274" s="81"/>
      <c r="J274" s="2"/>
      <c r="N274" s="89"/>
      <c r="O274" s="88"/>
      <c r="P274" s="88"/>
      <c r="Q274" s="2"/>
      <c r="R274" s="2"/>
    </row>
    <row r="275" spans="2:18" x14ac:dyDescent="0.2">
      <c r="B275" s="10"/>
      <c r="C275" s="10"/>
      <c r="D275" s="13"/>
      <c r="E275" s="89"/>
      <c r="F275" s="2"/>
      <c r="G275" s="2"/>
      <c r="I275" s="16"/>
      <c r="J275" s="2"/>
      <c r="N275" s="97"/>
      <c r="O275" s="88"/>
      <c r="P275" s="88"/>
      <c r="Q275" s="2"/>
      <c r="R275" s="2"/>
    </row>
    <row r="276" spans="2:18" x14ac:dyDescent="0.2">
      <c r="B276" s="10"/>
      <c r="C276" s="10"/>
      <c r="D276" s="13"/>
      <c r="E276" s="89"/>
      <c r="F276" s="2"/>
      <c r="G276" s="2"/>
      <c r="I276" s="81"/>
      <c r="J276" s="2"/>
      <c r="N276" s="89"/>
      <c r="O276" s="88"/>
      <c r="P276" s="88"/>
      <c r="Q276" s="2"/>
      <c r="R276" s="2"/>
    </row>
    <row r="277" spans="2:18" x14ac:dyDescent="0.2">
      <c r="B277" s="10"/>
      <c r="C277" s="10"/>
      <c r="D277" s="13"/>
      <c r="E277" s="89"/>
      <c r="F277" s="2"/>
      <c r="G277" s="2"/>
      <c r="I277" s="16"/>
      <c r="J277" s="2"/>
      <c r="N277" s="97"/>
      <c r="O277" s="88"/>
      <c r="P277" s="88"/>
      <c r="Q277" s="2"/>
      <c r="R277" s="2"/>
    </row>
    <row r="278" spans="2:18" x14ac:dyDescent="0.2">
      <c r="B278" s="10"/>
      <c r="C278" s="10"/>
      <c r="D278" s="13"/>
      <c r="E278" s="89"/>
      <c r="F278" s="2"/>
      <c r="G278" s="2"/>
      <c r="I278" s="81"/>
      <c r="J278" s="2"/>
      <c r="N278" s="89"/>
      <c r="O278" s="88"/>
      <c r="P278" s="88"/>
      <c r="Q278" s="2"/>
      <c r="R278" s="2"/>
    </row>
    <row r="279" spans="2:18" x14ac:dyDescent="0.2">
      <c r="B279" s="10"/>
      <c r="C279" s="10"/>
      <c r="D279" s="13"/>
      <c r="E279" s="89"/>
      <c r="F279" s="2"/>
      <c r="G279" s="2"/>
      <c r="I279" s="16"/>
      <c r="J279" s="2"/>
      <c r="N279" s="97"/>
      <c r="O279" s="88"/>
      <c r="P279" s="88"/>
      <c r="Q279" s="2"/>
      <c r="R279" s="2"/>
    </row>
    <row r="280" spans="2:18" x14ac:dyDescent="0.2">
      <c r="B280" s="10"/>
      <c r="C280" s="10"/>
      <c r="D280" s="13"/>
      <c r="E280" s="89"/>
      <c r="F280" s="2"/>
      <c r="G280" s="2"/>
      <c r="I280" s="81"/>
      <c r="J280" s="2"/>
      <c r="N280" s="89"/>
      <c r="O280" s="88"/>
      <c r="P280" s="88"/>
      <c r="Q280" s="2"/>
      <c r="R280" s="2"/>
    </row>
    <row r="281" spans="2:18" x14ac:dyDescent="0.2">
      <c r="B281" s="10"/>
      <c r="C281" s="10"/>
      <c r="D281" s="13"/>
      <c r="E281" s="89"/>
      <c r="F281" s="2"/>
      <c r="G281" s="2"/>
      <c r="I281" s="16"/>
      <c r="J281" s="2"/>
      <c r="N281" s="97"/>
      <c r="O281" s="88"/>
      <c r="P281" s="88"/>
      <c r="Q281" s="2"/>
      <c r="R281" s="2"/>
    </row>
    <row r="282" spans="2:18" x14ac:dyDescent="0.2">
      <c r="B282" s="10"/>
      <c r="C282" s="10"/>
      <c r="D282" s="13"/>
      <c r="E282" s="89"/>
      <c r="F282" s="2"/>
      <c r="G282" s="2"/>
      <c r="I282" s="81"/>
      <c r="J282" s="2"/>
      <c r="N282" s="89"/>
      <c r="O282" s="88"/>
      <c r="P282" s="88"/>
      <c r="Q282" s="2"/>
      <c r="R282" s="2"/>
    </row>
    <row r="283" spans="2:18" x14ac:dyDescent="0.2">
      <c r="B283" s="10"/>
      <c r="C283" s="10"/>
      <c r="D283" s="13"/>
      <c r="E283" s="102"/>
      <c r="F283" s="2"/>
      <c r="G283" s="2"/>
      <c r="I283" s="16"/>
      <c r="J283" s="2"/>
      <c r="N283" s="97"/>
      <c r="O283" s="88"/>
      <c r="P283" s="88"/>
      <c r="Q283" s="2"/>
      <c r="R283" s="2"/>
    </row>
    <row r="284" spans="2:18" x14ac:dyDescent="0.2">
      <c r="B284" s="10"/>
      <c r="C284" s="10"/>
      <c r="D284" s="13"/>
      <c r="E284" s="89"/>
      <c r="F284" s="2"/>
      <c r="G284" s="2"/>
      <c r="I284" s="81"/>
      <c r="J284" s="2"/>
      <c r="N284" s="89"/>
      <c r="O284" s="88"/>
      <c r="P284" s="88"/>
      <c r="Q284" s="2"/>
      <c r="R284" s="2"/>
    </row>
    <row r="285" spans="2:18" x14ac:dyDescent="0.2">
      <c r="B285" s="10"/>
      <c r="C285" s="10"/>
      <c r="D285" s="13"/>
      <c r="E285" s="89"/>
      <c r="F285" s="2"/>
      <c r="G285" s="2"/>
      <c r="I285" s="16"/>
      <c r="J285" s="2"/>
      <c r="N285" s="97"/>
      <c r="O285" s="88"/>
      <c r="P285" s="88"/>
      <c r="Q285" s="2"/>
      <c r="R285" s="2"/>
    </row>
    <row r="286" spans="2:18" x14ac:dyDescent="0.2">
      <c r="B286" s="10"/>
      <c r="C286" s="10"/>
      <c r="D286" s="13"/>
      <c r="E286" s="89"/>
      <c r="F286" s="2"/>
      <c r="G286" s="2"/>
      <c r="I286" s="81"/>
      <c r="J286" s="2"/>
      <c r="N286" s="89"/>
      <c r="O286" s="88"/>
      <c r="P286" s="88"/>
      <c r="Q286" s="2"/>
      <c r="R286" s="2"/>
    </row>
    <row r="287" spans="2:18" x14ac:dyDescent="0.2">
      <c r="B287" s="10"/>
      <c r="C287" s="10"/>
      <c r="D287" s="13"/>
      <c r="E287" s="89"/>
      <c r="F287" s="2"/>
      <c r="G287" s="2"/>
      <c r="I287" s="16"/>
      <c r="J287" s="2"/>
      <c r="N287" s="97"/>
      <c r="O287" s="88"/>
      <c r="P287" s="88"/>
      <c r="Q287" s="2"/>
      <c r="R287" s="2"/>
    </row>
    <row r="288" spans="2:18" x14ac:dyDescent="0.2">
      <c r="B288" s="10"/>
      <c r="C288" s="10"/>
      <c r="D288" s="13"/>
      <c r="E288" s="89"/>
      <c r="F288" s="2"/>
      <c r="G288" s="2"/>
      <c r="I288" s="81"/>
      <c r="J288" s="2"/>
      <c r="N288" s="89"/>
      <c r="O288" s="88"/>
      <c r="P288" s="88"/>
      <c r="Q288" s="2"/>
      <c r="R288" s="2"/>
    </row>
    <row r="289" spans="2:18" x14ac:dyDescent="0.2">
      <c r="B289" s="11"/>
      <c r="C289" s="10"/>
      <c r="D289" s="13"/>
      <c r="E289" s="89"/>
      <c r="F289" s="2"/>
      <c r="G289" s="2"/>
      <c r="I289" s="16"/>
      <c r="J289" s="2"/>
      <c r="N289" s="97"/>
      <c r="O289" s="88"/>
      <c r="P289" s="88"/>
      <c r="Q289" s="2"/>
      <c r="R289" s="2"/>
    </row>
    <row r="290" spans="2:18" x14ac:dyDescent="0.2">
      <c r="B290" s="11"/>
      <c r="C290" s="10"/>
      <c r="D290" s="13"/>
      <c r="E290" s="204"/>
      <c r="F290" s="2"/>
      <c r="G290" s="2"/>
      <c r="I290" s="16"/>
      <c r="J290" s="2"/>
      <c r="N290" s="89"/>
      <c r="O290" s="88"/>
      <c r="P290" s="88"/>
      <c r="Q290" s="2"/>
      <c r="R290" s="2"/>
    </row>
    <row r="291" spans="2:18" x14ac:dyDescent="0.2">
      <c r="B291" s="11"/>
      <c r="C291" s="10"/>
      <c r="D291" s="13"/>
      <c r="E291" s="204"/>
      <c r="F291" s="2"/>
      <c r="G291" s="2"/>
      <c r="I291" s="81"/>
      <c r="J291" s="2"/>
      <c r="N291" s="97"/>
      <c r="O291" s="88"/>
      <c r="P291" s="88"/>
      <c r="Q291" s="2"/>
      <c r="R291" s="2"/>
    </row>
    <row r="292" spans="2:18" x14ac:dyDescent="0.2">
      <c r="B292" s="10"/>
      <c r="C292" s="10"/>
      <c r="D292" s="13"/>
      <c r="E292" s="89"/>
      <c r="F292" s="2"/>
      <c r="G292" s="2"/>
      <c r="I292" s="16"/>
      <c r="J292" s="2"/>
      <c r="N292" s="89"/>
      <c r="O292" s="88"/>
      <c r="P292" s="88"/>
      <c r="Q292" s="2"/>
      <c r="R292" s="2"/>
    </row>
    <row r="293" spans="2:18" x14ac:dyDescent="0.2">
      <c r="B293" s="10"/>
      <c r="C293" s="10"/>
      <c r="D293" s="13"/>
      <c r="E293" s="89"/>
      <c r="F293" s="2"/>
      <c r="G293" s="2"/>
      <c r="I293" s="81"/>
      <c r="J293" s="2"/>
      <c r="N293" s="97"/>
      <c r="O293" s="88"/>
      <c r="P293" s="88"/>
      <c r="Q293" s="2"/>
      <c r="R293" s="2"/>
    </row>
    <row r="294" spans="2:18" x14ac:dyDescent="0.2">
      <c r="B294" s="10"/>
      <c r="C294" s="10"/>
      <c r="D294" s="13"/>
      <c r="E294" s="89"/>
      <c r="F294" s="2"/>
      <c r="G294" s="2"/>
      <c r="I294" s="16"/>
      <c r="J294" s="2"/>
      <c r="N294" s="89"/>
      <c r="O294" s="88"/>
      <c r="P294" s="88"/>
      <c r="Q294" s="2"/>
      <c r="R294" s="2"/>
    </row>
    <row r="295" spans="2:18" x14ac:dyDescent="0.2">
      <c r="B295" s="10"/>
      <c r="C295" s="10"/>
      <c r="D295" s="13"/>
      <c r="E295" s="89"/>
      <c r="F295" s="2"/>
      <c r="G295" s="2"/>
      <c r="I295" s="81"/>
      <c r="J295" s="2"/>
      <c r="N295" s="97"/>
      <c r="O295" s="88"/>
      <c r="P295" s="88"/>
      <c r="Q295" s="2"/>
      <c r="R295" s="2"/>
    </row>
    <row r="296" spans="2:18" x14ac:dyDescent="0.2">
      <c r="B296" s="10"/>
      <c r="C296" s="10"/>
      <c r="D296" s="13"/>
      <c r="E296" s="89"/>
      <c r="F296" s="2"/>
      <c r="G296" s="2"/>
      <c r="Q296" s="2"/>
      <c r="R296" s="2"/>
    </row>
    <row r="297" spans="2:18" x14ac:dyDescent="0.2">
      <c r="B297" t="s">
        <v>424</v>
      </c>
      <c r="C297" t="s">
        <v>425</v>
      </c>
      <c r="E297" s="89">
        <v>235</v>
      </c>
      <c r="F297" s="2"/>
      <c r="G297" s="2"/>
      <c r="Q297" s="2"/>
      <c r="R297" s="2"/>
    </row>
    <row r="298" spans="2:18" x14ac:dyDescent="0.2">
      <c r="B298" s="193" t="s">
        <v>559</v>
      </c>
      <c r="C298" s="193" t="s">
        <v>406</v>
      </c>
      <c r="D298" s="193"/>
      <c r="E298" s="194">
        <v>1652</v>
      </c>
      <c r="F298" s="2"/>
      <c r="G298" s="2"/>
      <c r="Q298" s="2"/>
      <c r="R298" s="2"/>
    </row>
    <row r="299" spans="2:18" x14ac:dyDescent="0.2">
      <c r="B299" s="195" t="s">
        <v>556</v>
      </c>
      <c r="C299" s="193" t="s">
        <v>409</v>
      </c>
      <c r="D299" s="193"/>
      <c r="E299" s="194">
        <v>826</v>
      </c>
      <c r="F299" s="2"/>
      <c r="G299" s="2"/>
      <c r="Q299" s="2"/>
      <c r="R299" s="2"/>
    </row>
    <row r="300" spans="2:18" x14ac:dyDescent="0.2">
      <c r="B300" s="193" t="s">
        <v>557</v>
      </c>
      <c r="C300" s="193" t="s">
        <v>408</v>
      </c>
      <c r="D300" s="193"/>
      <c r="E300" s="194">
        <v>1652</v>
      </c>
      <c r="F300" s="2"/>
      <c r="G300" s="2"/>
      <c r="Q300" s="2"/>
      <c r="R300" s="2"/>
    </row>
    <row r="301" spans="2:18" x14ac:dyDescent="0.2">
      <c r="B301" s="193" t="s">
        <v>558</v>
      </c>
      <c r="C301" s="193" t="s">
        <v>407</v>
      </c>
      <c r="D301" s="193"/>
      <c r="E301" s="194">
        <v>1652</v>
      </c>
      <c r="F301" s="2"/>
      <c r="G301" s="2"/>
      <c r="Q301" s="2"/>
      <c r="R301" s="2"/>
    </row>
    <row r="302" spans="2:18" x14ac:dyDescent="0.2">
      <c r="B302" s="193" t="s">
        <v>560</v>
      </c>
      <c r="C302" s="193" t="s">
        <v>410</v>
      </c>
      <c r="D302" s="193"/>
      <c r="E302" s="194">
        <v>3401</v>
      </c>
      <c r="F302" s="2"/>
      <c r="G302" s="2"/>
      <c r="Q302" s="2"/>
      <c r="R302" s="2"/>
    </row>
    <row r="303" spans="2:18" x14ac:dyDescent="0.2">
      <c r="B303" s="193" t="s">
        <v>561</v>
      </c>
      <c r="C303" s="193" t="s">
        <v>414</v>
      </c>
      <c r="D303" s="193"/>
      <c r="E303" s="194">
        <v>3855</v>
      </c>
      <c r="F303" s="2"/>
      <c r="G303" s="2"/>
      <c r="Q303" s="2"/>
      <c r="R303" s="2"/>
    </row>
    <row r="304" spans="2:18" x14ac:dyDescent="0.2">
      <c r="B304" t="s">
        <v>47</v>
      </c>
      <c r="C304" t="s">
        <v>8</v>
      </c>
      <c r="E304" s="2">
        <v>6609</v>
      </c>
      <c r="F304" s="2"/>
      <c r="G304" s="2"/>
      <c r="Q304" s="2"/>
      <c r="R304" s="2"/>
    </row>
    <row r="305" spans="2:18" x14ac:dyDescent="0.2">
      <c r="B305" t="s">
        <v>48</v>
      </c>
      <c r="C305" t="s">
        <v>9</v>
      </c>
      <c r="E305" s="205">
        <v>2467.8000000000002</v>
      </c>
      <c r="F305" s="2"/>
      <c r="G305" s="2"/>
      <c r="Q305" s="2"/>
      <c r="R305" s="2"/>
    </row>
    <row r="306" spans="2:18" x14ac:dyDescent="0.2">
      <c r="B306" t="s">
        <v>49</v>
      </c>
      <c r="C306" t="s">
        <v>416</v>
      </c>
      <c r="E306" s="205">
        <v>6074.915</v>
      </c>
      <c r="F306" s="2"/>
      <c r="G306" s="2"/>
      <c r="Q306" s="2"/>
      <c r="R306" s="2"/>
    </row>
    <row r="307" spans="2:18" x14ac:dyDescent="0.2">
      <c r="B307" t="s">
        <v>50</v>
      </c>
      <c r="C307" t="s">
        <v>12</v>
      </c>
      <c r="E307" s="205">
        <v>5273.1</v>
      </c>
      <c r="F307" s="2"/>
      <c r="G307" s="2"/>
      <c r="Q307" s="2"/>
      <c r="R307" s="2"/>
    </row>
    <row r="308" spans="2:18" x14ac:dyDescent="0.2">
      <c r="B308" t="s">
        <v>569</v>
      </c>
      <c r="C308" t="s">
        <v>568</v>
      </c>
      <c r="E308" s="200">
        <v>7235</v>
      </c>
      <c r="F308" s="2"/>
      <c r="G308" s="2"/>
      <c r="Q308" s="2"/>
      <c r="R308" s="2"/>
    </row>
    <row r="309" spans="2:18" x14ac:dyDescent="0.2">
      <c r="B309" t="s">
        <v>570</v>
      </c>
      <c r="C309" t="s">
        <v>571</v>
      </c>
      <c r="E309" s="200">
        <v>6723</v>
      </c>
      <c r="F309" s="2"/>
      <c r="G309" s="2"/>
      <c r="Q309" s="2"/>
      <c r="R309" s="2"/>
    </row>
    <row r="310" spans="2:18" x14ac:dyDescent="0.2">
      <c r="B310" t="s">
        <v>576</v>
      </c>
      <c r="C310" t="s">
        <v>572</v>
      </c>
      <c r="E310" s="200">
        <v>7010</v>
      </c>
      <c r="F310" s="2"/>
      <c r="G310" s="2"/>
      <c r="Q310" s="2"/>
      <c r="R310" s="2"/>
    </row>
    <row r="311" spans="2:18" x14ac:dyDescent="0.2">
      <c r="B311" t="s">
        <v>575</v>
      </c>
      <c r="C311" t="s">
        <v>573</v>
      </c>
      <c r="E311" s="200">
        <v>5211</v>
      </c>
      <c r="F311" s="2"/>
      <c r="G311" s="2"/>
      <c r="Q311" s="2"/>
      <c r="R311" s="2"/>
    </row>
    <row r="312" spans="2:18" x14ac:dyDescent="0.2">
      <c r="B312" t="s">
        <v>574</v>
      </c>
      <c r="C312" t="s">
        <v>577</v>
      </c>
      <c r="E312" s="200">
        <v>975</v>
      </c>
      <c r="F312" s="2"/>
      <c r="G312" s="2"/>
      <c r="Q312" s="2"/>
      <c r="R312" s="2"/>
    </row>
    <row r="313" spans="2:18" x14ac:dyDescent="0.2">
      <c r="B313" t="s">
        <v>578</v>
      </c>
      <c r="C313" t="s">
        <v>579</v>
      </c>
      <c r="E313" s="200">
        <v>1361</v>
      </c>
      <c r="F313" s="2"/>
      <c r="G313" s="2"/>
      <c r="Q313" s="2"/>
      <c r="R313" s="2"/>
    </row>
    <row r="314" spans="2:18" x14ac:dyDescent="0.2">
      <c r="B314" t="s">
        <v>580</v>
      </c>
      <c r="C314" t="s">
        <v>581</v>
      </c>
      <c r="E314" s="200">
        <v>1525</v>
      </c>
      <c r="F314" s="2"/>
      <c r="G314" s="2"/>
      <c r="Q314" s="2"/>
      <c r="R314" s="2"/>
    </row>
    <row r="315" spans="2:18" x14ac:dyDescent="0.2">
      <c r="B315" t="s">
        <v>582</v>
      </c>
      <c r="C315" t="s">
        <v>583</v>
      </c>
      <c r="E315" s="200">
        <v>7720</v>
      </c>
      <c r="F315" s="2"/>
      <c r="G315" s="2"/>
      <c r="Q315" s="2"/>
      <c r="R315" s="2"/>
    </row>
    <row r="316" spans="2:18" x14ac:dyDescent="0.2">
      <c r="B316" t="s">
        <v>584</v>
      </c>
      <c r="C316" t="s">
        <v>585</v>
      </c>
      <c r="E316" s="200">
        <v>1495</v>
      </c>
      <c r="F316" s="2"/>
      <c r="G316" s="2"/>
      <c r="Q316" s="2"/>
      <c r="R316" s="2"/>
    </row>
    <row r="317" spans="2:18" x14ac:dyDescent="0.2">
      <c r="B317" t="s">
        <v>586</v>
      </c>
      <c r="C317" t="s">
        <v>587</v>
      </c>
      <c r="E317" s="200">
        <v>921</v>
      </c>
      <c r="F317" s="2"/>
      <c r="G317" s="2"/>
      <c r="Q317" s="2"/>
      <c r="R317" s="2"/>
    </row>
    <row r="318" spans="2:18" x14ac:dyDescent="0.2">
      <c r="B318" t="s">
        <v>588</v>
      </c>
      <c r="C318" t="s">
        <v>589</v>
      </c>
      <c r="E318" s="200">
        <v>921</v>
      </c>
      <c r="F318" s="2"/>
      <c r="G318" s="2"/>
      <c r="Q318" s="2"/>
      <c r="R318" s="2"/>
    </row>
    <row r="319" spans="2:18" x14ac:dyDescent="0.2">
      <c r="B319" t="s">
        <v>590</v>
      </c>
      <c r="C319" t="s">
        <v>591</v>
      </c>
      <c r="E319" s="200">
        <v>5591</v>
      </c>
      <c r="F319" s="2"/>
      <c r="G319" s="2"/>
      <c r="Q319" s="2"/>
      <c r="R319" s="2"/>
    </row>
    <row r="320" spans="2:18" x14ac:dyDescent="0.2">
      <c r="B320" s="198">
        <v>9398</v>
      </c>
      <c r="C320" t="s">
        <v>592</v>
      </c>
      <c r="E320" s="2">
        <v>301</v>
      </c>
      <c r="F320" s="2"/>
      <c r="G320" s="2"/>
      <c r="Q320" s="2"/>
      <c r="R320" s="2"/>
    </row>
    <row r="321" spans="2:18" x14ac:dyDescent="0.2">
      <c r="B321">
        <v>9427</v>
      </c>
      <c r="C321" t="s">
        <v>593</v>
      </c>
      <c r="E321" s="2">
        <v>263</v>
      </c>
      <c r="F321" s="2"/>
      <c r="G321" s="2"/>
      <c r="Q321" s="2"/>
      <c r="R321" s="2"/>
    </row>
    <row r="322" spans="2:18" x14ac:dyDescent="0.2">
      <c r="B322">
        <v>9729</v>
      </c>
      <c r="C322" t="s">
        <v>594</v>
      </c>
      <c r="E322" s="205">
        <v>241.4</v>
      </c>
      <c r="F322" s="2"/>
      <c r="G322" s="2"/>
      <c r="Q322" s="2"/>
      <c r="R322" s="2"/>
    </row>
    <row r="323" spans="2:18" x14ac:dyDescent="0.2">
      <c r="E323" s="2"/>
      <c r="F323" s="2"/>
      <c r="G323" s="2"/>
      <c r="Q323" s="2"/>
      <c r="R323" s="2"/>
    </row>
    <row r="324" spans="2:18" x14ac:dyDescent="0.2">
      <c r="E324" s="2"/>
      <c r="F324" s="2"/>
      <c r="G324" s="2"/>
      <c r="Q324" s="2"/>
      <c r="R324" s="2"/>
    </row>
    <row r="325" spans="2:18" x14ac:dyDescent="0.2">
      <c r="E325" s="2"/>
      <c r="F325" s="2"/>
      <c r="G325" s="2"/>
      <c r="Q325" s="2"/>
      <c r="R325" s="2"/>
    </row>
    <row r="326" spans="2:18" x14ac:dyDescent="0.2">
      <c r="E326" s="2"/>
      <c r="F326" s="2"/>
      <c r="G326" s="2"/>
      <c r="Q326" s="2"/>
      <c r="R326" s="2"/>
    </row>
    <row r="327" spans="2:18" x14ac:dyDescent="0.2">
      <c r="E327" s="205"/>
      <c r="F327" s="2"/>
      <c r="G327" s="2"/>
      <c r="Q327" s="2"/>
      <c r="R327" s="2"/>
    </row>
    <row r="328" spans="2:18" x14ac:dyDescent="0.2">
      <c r="E328" s="205"/>
      <c r="F328" s="2"/>
      <c r="G328" s="2"/>
      <c r="Q328" s="2"/>
      <c r="R328" s="2"/>
    </row>
    <row r="329" spans="2:18" x14ac:dyDescent="0.2">
      <c r="E329" s="205"/>
      <c r="F329" s="2"/>
      <c r="G329" s="2"/>
      <c r="Q329" s="2"/>
      <c r="R329" s="2"/>
    </row>
    <row r="330" spans="2:18" x14ac:dyDescent="0.2">
      <c r="E330" s="205"/>
      <c r="F330" s="2"/>
      <c r="G330" s="2"/>
      <c r="Q330" s="2"/>
      <c r="R330" s="2"/>
    </row>
    <row r="331" spans="2:18" x14ac:dyDescent="0.2">
      <c r="E331" s="205"/>
      <c r="F331" s="2"/>
      <c r="G331" s="2"/>
      <c r="Q331" s="2"/>
      <c r="R331" s="2"/>
    </row>
    <row r="332" spans="2:18" x14ac:dyDescent="0.2">
      <c r="E332" s="205"/>
      <c r="F332" s="2"/>
      <c r="G332" s="2"/>
      <c r="Q332" s="2"/>
      <c r="R332" s="2"/>
    </row>
    <row r="333" spans="2:18" x14ac:dyDescent="0.2">
      <c r="E333" s="205"/>
      <c r="F333" s="2"/>
      <c r="G333" s="2"/>
      <c r="Q333" s="2"/>
      <c r="R333" s="2"/>
    </row>
    <row r="334" spans="2:18" x14ac:dyDescent="0.2">
      <c r="E334" s="205"/>
      <c r="F334" s="2"/>
      <c r="G334" s="2"/>
      <c r="Q334" s="2"/>
      <c r="R334" s="2"/>
    </row>
    <row r="335" spans="2:18" x14ac:dyDescent="0.2">
      <c r="E335" s="205"/>
      <c r="F335" s="2"/>
      <c r="G335" s="2"/>
      <c r="Q335" s="2"/>
      <c r="R335" s="2"/>
    </row>
    <row r="336" spans="2:18" x14ac:dyDescent="0.2">
      <c r="E336" s="205"/>
      <c r="F336" s="2"/>
      <c r="G336" s="2"/>
      <c r="Q336" s="2"/>
      <c r="R336" s="2"/>
    </row>
    <row r="337" spans="2:18" x14ac:dyDescent="0.2">
      <c r="D337" s="2"/>
      <c r="E337" s="205"/>
      <c r="F337" s="2"/>
      <c r="G337" s="2"/>
      <c r="Q337" s="2"/>
      <c r="R337" s="2"/>
    </row>
    <row r="338" spans="2:18" x14ac:dyDescent="0.2">
      <c r="E338" s="205"/>
      <c r="F338" s="2"/>
      <c r="G338" s="2"/>
      <c r="Q338" s="2"/>
      <c r="R338" s="2"/>
    </row>
    <row r="339" spans="2:18" x14ac:dyDescent="0.2">
      <c r="E339" s="205"/>
      <c r="F339" s="2"/>
      <c r="G339" s="2"/>
      <c r="Q339" s="2"/>
      <c r="R339" s="2"/>
    </row>
    <row r="340" spans="2:18" x14ac:dyDescent="0.2">
      <c r="E340" s="205"/>
      <c r="F340" s="2"/>
      <c r="G340" s="2"/>
      <c r="Q340" s="2"/>
      <c r="R340" s="2"/>
    </row>
    <row r="341" spans="2:18" x14ac:dyDescent="0.2">
      <c r="E341" s="205"/>
      <c r="F341" s="2"/>
      <c r="G341" s="2"/>
      <c r="Q341" s="2"/>
      <c r="R341" s="2"/>
    </row>
    <row r="342" spans="2:18" x14ac:dyDescent="0.2">
      <c r="E342" s="205"/>
      <c r="F342" s="2"/>
      <c r="G342" s="2"/>
      <c r="Q342" s="2"/>
      <c r="R342" s="2"/>
    </row>
    <row r="343" spans="2:18" x14ac:dyDescent="0.2">
      <c r="E343" s="205"/>
      <c r="G343" s="2"/>
    </row>
    <row r="344" spans="2:18" x14ac:dyDescent="0.2">
      <c r="E344" s="2"/>
      <c r="G344" s="2"/>
    </row>
    <row r="347" spans="2:18" ht="47" customHeight="1" x14ac:dyDescent="0.2">
      <c r="B347" t="s">
        <v>14</v>
      </c>
      <c r="C347" t="s">
        <v>34</v>
      </c>
      <c r="D347" t="s">
        <v>13</v>
      </c>
      <c r="E347" t="s">
        <v>24</v>
      </c>
    </row>
    <row r="348" spans="2:18" ht="71" customHeight="1" x14ac:dyDescent="0.2">
      <c r="B348" s="7" t="s">
        <v>21</v>
      </c>
      <c r="C348" s="8" t="s">
        <v>483</v>
      </c>
      <c r="D348" s="8" t="s">
        <v>41</v>
      </c>
      <c r="E348" s="6">
        <v>0</v>
      </c>
    </row>
    <row r="349" spans="2:18" ht="62" customHeight="1" x14ac:dyDescent="0.2">
      <c r="B349" s="7" t="s">
        <v>15</v>
      </c>
      <c r="C349" s="8" t="s">
        <v>484</v>
      </c>
      <c r="D349" s="8" t="s">
        <v>22</v>
      </c>
      <c r="E349" s="6">
        <v>0</v>
      </c>
    </row>
    <row r="350" spans="2:18" ht="139.25" customHeight="1" x14ac:dyDescent="0.2">
      <c r="B350" s="7" t="s">
        <v>16</v>
      </c>
      <c r="C350" s="8" t="s">
        <v>42</v>
      </c>
      <c r="D350" s="8" t="s">
        <v>43</v>
      </c>
      <c r="E350" s="6">
        <v>0</v>
      </c>
    </row>
    <row r="351" spans="2:18" ht="213" customHeight="1" x14ac:dyDescent="0.2">
      <c r="B351" s="7" t="s">
        <v>17</v>
      </c>
      <c r="C351" s="8" t="s">
        <v>485</v>
      </c>
      <c r="D351" s="8" t="s">
        <v>23</v>
      </c>
      <c r="E351" s="6" t="s">
        <v>25</v>
      </c>
    </row>
    <row r="352" spans="2:18" ht="126" customHeight="1" x14ac:dyDescent="0.2">
      <c r="B352" s="7" t="s">
        <v>18</v>
      </c>
      <c r="C352" s="8" t="s">
        <v>370</v>
      </c>
      <c r="D352" s="8" t="s">
        <v>44</v>
      </c>
      <c r="E352" s="6" t="s">
        <v>26</v>
      </c>
    </row>
    <row r="353" spans="2:5" ht="161" customHeight="1" x14ac:dyDescent="0.2">
      <c r="B353" s="7" t="s">
        <v>45</v>
      </c>
      <c r="C353" s="8" t="s">
        <v>486</v>
      </c>
      <c r="D353" s="8" t="s">
        <v>46</v>
      </c>
      <c r="E353" s="6" t="s">
        <v>27</v>
      </c>
    </row>
    <row r="354" spans="2:5" ht="107" customHeight="1" x14ac:dyDescent="0.2">
      <c r="B354" s="7" t="s">
        <v>19</v>
      </c>
      <c r="C354" s="8" t="s">
        <v>487</v>
      </c>
      <c r="D354" s="8" t="s">
        <v>52</v>
      </c>
      <c r="E354" s="7" t="s">
        <v>53</v>
      </c>
    </row>
    <row r="355" spans="2:5" ht="113" customHeight="1" x14ac:dyDescent="0.2">
      <c r="B355" s="7" t="s">
        <v>28</v>
      </c>
      <c r="C355" s="8" t="s">
        <v>366</v>
      </c>
      <c r="D355" s="8" t="s">
        <v>29</v>
      </c>
      <c r="E355" s="7">
        <v>0</v>
      </c>
    </row>
    <row r="356" spans="2:5" ht="182" customHeight="1" x14ac:dyDescent="0.2">
      <c r="B356" s="7"/>
      <c r="C356" s="8"/>
      <c r="D356" s="8"/>
      <c r="E356" s="6"/>
    </row>
    <row r="357" spans="2:5" ht="92" customHeight="1" x14ac:dyDescent="0.2">
      <c r="B357" s="7"/>
      <c r="C357" s="8"/>
      <c r="D357" s="8"/>
      <c r="E357" s="6"/>
    </row>
    <row r="358" spans="2:5" ht="290" customHeight="1" x14ac:dyDescent="0.2">
      <c r="B358" s="7"/>
      <c r="C358" s="8"/>
      <c r="D358" s="8"/>
      <c r="E358" s="6"/>
    </row>
    <row r="359" spans="2:5" ht="205.25" customHeight="1" x14ac:dyDescent="0.2">
      <c r="B359" s="7"/>
      <c r="C359" s="8"/>
      <c r="D359" s="8"/>
      <c r="E359" s="6"/>
    </row>
    <row r="360" spans="2:5" ht="177" customHeight="1" x14ac:dyDescent="0.2">
      <c r="B360" s="7"/>
      <c r="C360" s="8"/>
      <c r="D360" s="8"/>
      <c r="E360" s="6"/>
    </row>
    <row r="361" spans="2:5" ht="274.25" customHeight="1" x14ac:dyDescent="0.2">
      <c r="B361" s="7"/>
      <c r="C361" s="8"/>
      <c r="D361" s="8"/>
      <c r="E361" s="6"/>
    </row>
    <row r="362" spans="2:5" ht="274.25" customHeight="1" x14ac:dyDescent="0.2">
      <c r="B362" s="7"/>
      <c r="C362" s="8"/>
      <c r="D362" s="8"/>
      <c r="E362" s="6"/>
    </row>
    <row r="363" spans="2:5" ht="131" customHeight="1" x14ac:dyDescent="0.2">
      <c r="B363" s="7"/>
      <c r="C363" s="8"/>
      <c r="D363" s="8"/>
      <c r="E363" s="6"/>
    </row>
    <row r="364" spans="2:5" ht="131" customHeight="1" x14ac:dyDescent="0.2">
      <c r="B364" s="7"/>
      <c r="C364" s="8"/>
      <c r="D364" s="8"/>
      <c r="E364" s="6"/>
    </row>
    <row r="365" spans="2:5" ht="131" customHeight="1" x14ac:dyDescent="0.2">
      <c r="B365" s="7"/>
      <c r="C365" s="8"/>
      <c r="D365" s="8"/>
      <c r="E365" s="6"/>
    </row>
    <row r="366" spans="2:5" ht="131" customHeight="1" x14ac:dyDescent="0.2">
      <c r="B366" s="7"/>
      <c r="C366" s="8"/>
      <c r="D366" s="8"/>
      <c r="E366" s="6"/>
    </row>
    <row r="367" spans="2:5" ht="131" customHeight="1" x14ac:dyDescent="0.2">
      <c r="B367" s="7"/>
      <c r="C367" s="8"/>
      <c r="D367" s="8"/>
      <c r="E367" s="6"/>
    </row>
    <row r="368" spans="2:5" ht="144" customHeight="1" x14ac:dyDescent="0.2">
      <c r="B368" s="7"/>
      <c r="C368" s="8"/>
      <c r="D368" s="8"/>
      <c r="E368" s="6"/>
    </row>
    <row r="369" spans="2:5" ht="131" customHeight="1" x14ac:dyDescent="0.2">
      <c r="B369" s="7"/>
      <c r="C369" s="8"/>
      <c r="D369" s="8"/>
      <c r="E369" s="6"/>
    </row>
    <row r="370" spans="2:5" ht="131" customHeight="1" x14ac:dyDescent="0.2">
      <c r="B370" s="7"/>
      <c r="C370" s="8"/>
      <c r="D370" s="8"/>
      <c r="E370" s="6"/>
    </row>
    <row r="371" spans="2:5" ht="131" customHeight="1" x14ac:dyDescent="0.2">
      <c r="B371" s="7"/>
      <c r="C371" s="8"/>
      <c r="D371" s="8"/>
      <c r="E371" s="6"/>
    </row>
    <row r="372" spans="2:5" ht="131" customHeight="1" x14ac:dyDescent="0.2">
      <c r="B372" s="7"/>
      <c r="C372" s="8"/>
      <c r="D372" s="8"/>
      <c r="E372" s="6"/>
    </row>
    <row r="373" spans="2:5" ht="148.25" customHeight="1" x14ac:dyDescent="0.2">
      <c r="B373" s="7"/>
      <c r="C373" s="8"/>
      <c r="D373" s="8"/>
      <c r="E373" s="6"/>
    </row>
    <row r="374" spans="2:5" ht="131" customHeight="1" x14ac:dyDescent="0.2">
      <c r="B374" s="7"/>
      <c r="C374" s="8"/>
      <c r="D374" s="8"/>
      <c r="E374" s="6"/>
    </row>
    <row r="375" spans="2:5" ht="131" customHeight="1" x14ac:dyDescent="0.2">
      <c r="B375" s="7"/>
      <c r="C375" s="8"/>
      <c r="D375" s="8"/>
      <c r="E375" s="6"/>
    </row>
    <row r="376" spans="2:5" ht="131" customHeight="1" x14ac:dyDescent="0.2">
      <c r="B376" s="7"/>
      <c r="C376" s="8"/>
      <c r="D376" s="8"/>
      <c r="E376" s="6"/>
    </row>
    <row r="377" spans="2:5" ht="131" customHeight="1" x14ac:dyDescent="0.2">
      <c r="B377" s="7"/>
      <c r="C377" s="8"/>
      <c r="D377" s="8"/>
      <c r="E377" s="6"/>
    </row>
    <row r="378" spans="2:5" ht="131" customHeight="1" x14ac:dyDescent="0.2">
      <c r="B378" s="7"/>
      <c r="C378" s="8"/>
      <c r="D378" s="8"/>
      <c r="E378" s="6"/>
    </row>
    <row r="379" spans="2:5" ht="131" customHeight="1" x14ac:dyDescent="0.2">
      <c r="B379" s="7"/>
      <c r="C379" s="8"/>
      <c r="D379" s="8"/>
      <c r="E379" s="6"/>
    </row>
    <row r="380" spans="2:5" ht="131" customHeight="1" x14ac:dyDescent="0.2">
      <c r="B380" s="7"/>
      <c r="C380" s="8"/>
      <c r="D380" s="8"/>
      <c r="E380" s="6"/>
    </row>
    <row r="381" spans="2:5" x14ac:dyDescent="0.2">
      <c r="B381" s="7"/>
      <c r="C381" s="8"/>
      <c r="D381" s="8"/>
      <c r="E381" s="6"/>
    </row>
    <row r="382" spans="2:5" x14ac:dyDescent="0.2">
      <c r="B382" s="7"/>
      <c r="C382" s="8"/>
      <c r="D382" s="8"/>
      <c r="E382" s="6"/>
    </row>
    <row r="383" spans="2:5" x14ac:dyDescent="0.2">
      <c r="B383" s="7"/>
      <c r="C383" s="8"/>
      <c r="D383" s="8"/>
      <c r="E383" s="6"/>
    </row>
    <row r="384" spans="2:5" x14ac:dyDescent="0.2">
      <c r="B384" s="3"/>
      <c r="C384" s="5"/>
      <c r="D384" s="5"/>
    </row>
    <row r="385" spans="2:4" x14ac:dyDescent="0.2">
      <c r="B385" s="3"/>
      <c r="C385" s="5"/>
      <c r="D385" s="5"/>
    </row>
    <row r="386" spans="2:4" x14ac:dyDescent="0.2">
      <c r="B386" s="3"/>
      <c r="C386" s="5"/>
      <c r="D386" s="5"/>
    </row>
    <row r="387" spans="2:4" x14ac:dyDescent="0.2">
      <c r="B387" s="3"/>
      <c r="C387" s="5"/>
      <c r="D387" s="5"/>
    </row>
  </sheetData>
  <phoneticPr fontId="14" type="noConversion"/>
  <pageMargins left="0.7" right="0.7" top="0.75" bottom="0.75" header="0.3" footer="0.3"/>
  <pageSetup paperSize="9" orientation="portrait" r:id="rId1"/>
  <drawing r:id="rId2"/>
  <tableParts count="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01D07-5B1A-D449-B438-D85C05C146CA}">
  <dimension ref="A1:D29"/>
  <sheetViews>
    <sheetView tabSelected="1" workbookViewId="0">
      <selection activeCell="C15" sqref="C15"/>
    </sheetView>
  </sheetViews>
  <sheetFormatPr baseColWidth="10" defaultColWidth="11" defaultRowHeight="16" x14ac:dyDescent="0.2"/>
  <cols>
    <col min="2" max="2" width="47.1640625" customWidth="1"/>
    <col min="3" max="3" width="12.6640625" customWidth="1"/>
    <col min="4" max="4" width="14.33203125" customWidth="1"/>
  </cols>
  <sheetData>
    <row r="1" spans="1:4" s="108" customFormat="1" x14ac:dyDescent="0.2">
      <c r="A1" s="108" t="s">
        <v>411</v>
      </c>
      <c r="B1" s="108" t="s">
        <v>1</v>
      </c>
      <c r="C1" s="108" t="s">
        <v>412</v>
      </c>
      <c r="D1" s="108">
        <v>2024</v>
      </c>
    </row>
    <row r="2" spans="1:4" x14ac:dyDescent="0.2">
      <c r="A2" t="s">
        <v>401</v>
      </c>
      <c r="B2" t="s">
        <v>406</v>
      </c>
      <c r="C2" s="107">
        <v>1200</v>
      </c>
      <c r="D2" s="196">
        <v>1400</v>
      </c>
    </row>
    <row r="3" spans="1:4" x14ac:dyDescent="0.2">
      <c r="A3" t="s">
        <v>402</v>
      </c>
      <c r="B3" t="s">
        <v>407</v>
      </c>
      <c r="C3" s="107">
        <v>1200</v>
      </c>
      <c r="D3" s="196">
        <v>1400</v>
      </c>
    </row>
    <row r="4" spans="1:4" x14ac:dyDescent="0.2">
      <c r="A4" t="s">
        <v>403</v>
      </c>
      <c r="B4" t="s">
        <v>408</v>
      </c>
      <c r="C4" s="107">
        <v>1200</v>
      </c>
      <c r="D4" s="196">
        <v>1400</v>
      </c>
    </row>
    <row r="5" spans="1:4" x14ac:dyDescent="0.2">
      <c r="A5" t="s">
        <v>404</v>
      </c>
      <c r="B5" t="s">
        <v>409</v>
      </c>
      <c r="C5" s="107">
        <v>600</v>
      </c>
      <c r="D5" s="196">
        <v>700</v>
      </c>
    </row>
    <row r="6" spans="1:4" x14ac:dyDescent="0.2">
      <c r="A6" t="s">
        <v>405</v>
      </c>
      <c r="B6" t="s">
        <v>410</v>
      </c>
      <c r="C6" s="107">
        <v>2100</v>
      </c>
      <c r="D6" s="196">
        <v>2881</v>
      </c>
    </row>
    <row r="7" spans="1:4" x14ac:dyDescent="0.2">
      <c r="A7" t="s">
        <v>413</v>
      </c>
      <c r="B7" t="s">
        <v>414</v>
      </c>
      <c r="C7" s="107">
        <v>2800</v>
      </c>
      <c r="D7" s="196">
        <v>3266</v>
      </c>
    </row>
    <row r="8" spans="1:4" x14ac:dyDescent="0.2">
      <c r="A8" s="106" t="s">
        <v>47</v>
      </c>
      <c r="B8" s="106" t="s">
        <v>415</v>
      </c>
      <c r="C8" s="107">
        <v>4800</v>
      </c>
      <c r="D8" s="196">
        <v>5599</v>
      </c>
    </row>
    <row r="9" spans="1:4" x14ac:dyDescent="0.2">
      <c r="A9" t="s">
        <v>48</v>
      </c>
      <c r="B9" t="s">
        <v>9</v>
      </c>
      <c r="C9" s="107">
        <v>1950</v>
      </c>
      <c r="D9" s="196">
        <v>2275</v>
      </c>
    </row>
    <row r="10" spans="1:4" x14ac:dyDescent="0.2">
      <c r="A10" s="106" t="s">
        <v>49</v>
      </c>
      <c r="B10" s="106" t="s">
        <v>416</v>
      </c>
      <c r="C10" s="107">
        <v>4800</v>
      </c>
      <c r="D10" s="196">
        <v>5599</v>
      </c>
    </row>
    <row r="11" spans="1:4" x14ac:dyDescent="0.2">
      <c r="A11" t="s">
        <v>417</v>
      </c>
      <c r="B11" t="s">
        <v>418</v>
      </c>
      <c r="C11" s="107">
        <v>25000</v>
      </c>
      <c r="D11" s="196">
        <v>29160</v>
      </c>
    </row>
    <row r="12" spans="1:4" x14ac:dyDescent="0.2">
      <c r="A12" s="106" t="s">
        <v>419</v>
      </c>
      <c r="B12" s="106" t="s">
        <v>420</v>
      </c>
      <c r="C12" s="107">
        <v>1200</v>
      </c>
      <c r="D12" s="196">
        <v>1400</v>
      </c>
    </row>
    <row r="13" spans="1:4" x14ac:dyDescent="0.2">
      <c r="A13" t="s">
        <v>421</v>
      </c>
      <c r="B13" t="s">
        <v>422</v>
      </c>
      <c r="C13" s="107">
        <v>13000</v>
      </c>
      <c r="D13" s="196">
        <v>14040</v>
      </c>
    </row>
    <row r="16" spans="1:4" x14ac:dyDescent="0.2">
      <c r="A16" s="108" t="s">
        <v>491</v>
      </c>
    </row>
    <row r="18" spans="1:1" x14ac:dyDescent="0.2">
      <c r="A18" t="s">
        <v>489</v>
      </c>
    </row>
    <row r="19" spans="1:1" x14ac:dyDescent="0.2">
      <c r="A19" t="s">
        <v>488</v>
      </c>
    </row>
    <row r="20" spans="1:1" x14ac:dyDescent="0.2">
      <c r="A20" t="s">
        <v>498</v>
      </c>
    </row>
    <row r="21" spans="1:1" x14ac:dyDescent="0.2">
      <c r="A21" t="s">
        <v>562</v>
      </c>
    </row>
    <row r="23" spans="1:1" x14ac:dyDescent="0.2">
      <c r="A23" t="s">
        <v>499</v>
      </c>
    </row>
    <row r="24" spans="1:1" x14ac:dyDescent="0.2">
      <c r="A24" t="s">
        <v>500</v>
      </c>
    </row>
    <row r="25" spans="1:1" x14ac:dyDescent="0.2">
      <c r="A25" t="s">
        <v>563</v>
      </c>
    </row>
    <row r="26" spans="1:1" x14ac:dyDescent="0.2">
      <c r="A26" t="s">
        <v>501</v>
      </c>
    </row>
    <row r="27" spans="1:1" x14ac:dyDescent="0.2">
      <c r="A27" t="s">
        <v>564</v>
      </c>
    </row>
    <row r="29" spans="1:1" x14ac:dyDescent="0.2">
      <c r="A29" t="s">
        <v>565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AC942-B4EE-D046-87C4-C7691AA2BCB3}">
  <dimension ref="A107:G366"/>
  <sheetViews>
    <sheetView topLeftCell="A216" workbookViewId="0">
      <selection activeCell="D304" sqref="D304"/>
    </sheetView>
  </sheetViews>
  <sheetFormatPr baseColWidth="10" defaultColWidth="10.6640625" defaultRowHeight="16" x14ac:dyDescent="0.2"/>
  <cols>
    <col min="4" max="4" width="24.6640625" customWidth="1"/>
    <col min="5" max="5" width="25.6640625" customWidth="1"/>
  </cols>
  <sheetData>
    <row r="107" spans="1:5" ht="17" thickBot="1" x14ac:dyDescent="0.25"/>
    <row r="108" spans="1:5" ht="22" thickBot="1" x14ac:dyDescent="0.25">
      <c r="A108" s="36" t="s">
        <v>352</v>
      </c>
      <c r="B108" s="37"/>
      <c r="C108" s="37"/>
      <c r="D108" s="38"/>
      <c r="E108" s="6"/>
    </row>
    <row r="109" spans="1:5" ht="17" thickBot="1" x14ac:dyDescent="0.25">
      <c r="E109" s="9"/>
    </row>
    <row r="110" spans="1:5" ht="20" thickBot="1" x14ac:dyDescent="0.25">
      <c r="A110" s="39" t="s">
        <v>353</v>
      </c>
      <c r="B110" s="39" t="s">
        <v>354</v>
      </c>
      <c r="C110" s="40"/>
      <c r="D110" s="41">
        <v>2019</v>
      </c>
      <c r="E110" s="42" t="s">
        <v>355</v>
      </c>
    </row>
    <row r="111" spans="1:5" ht="19" x14ac:dyDescent="0.2">
      <c r="A111" s="39"/>
      <c r="B111" s="39"/>
      <c r="C111" s="40"/>
      <c r="D111" s="41"/>
      <c r="E111" s="43"/>
    </row>
    <row r="112" spans="1:5" x14ac:dyDescent="0.2">
      <c r="A112" s="44"/>
      <c r="B112" s="45" t="s">
        <v>356</v>
      </c>
      <c r="C112" s="46"/>
      <c r="D112" s="44"/>
      <c r="E112" s="46"/>
    </row>
    <row r="113" spans="1:7" x14ac:dyDescent="0.2">
      <c r="E113" s="9"/>
    </row>
    <row r="114" spans="1:7" x14ac:dyDescent="0.2">
      <c r="A114" s="10">
        <v>8099</v>
      </c>
      <c r="B114" s="10" t="s">
        <v>63</v>
      </c>
      <c r="C114" s="47"/>
      <c r="D114" s="10"/>
      <c r="E114" s="13" t="s">
        <v>310</v>
      </c>
    </row>
    <row r="115" spans="1:7" x14ac:dyDescent="0.2">
      <c r="A115" s="10">
        <v>8101</v>
      </c>
      <c r="B115" s="10" t="s">
        <v>64</v>
      </c>
      <c r="C115" s="16"/>
      <c r="D115" s="16">
        <v>583.20000000000005</v>
      </c>
      <c r="E115" s="13" t="s">
        <v>311</v>
      </c>
      <c r="F115" s="2"/>
      <c r="G115" s="2"/>
    </row>
    <row r="116" spans="1:7" x14ac:dyDescent="0.2">
      <c r="A116" s="10">
        <v>8102</v>
      </c>
      <c r="B116" s="10" t="s">
        <v>65</v>
      </c>
      <c r="C116" s="16"/>
      <c r="D116" s="16">
        <v>745.2</v>
      </c>
      <c r="E116" s="13" t="s">
        <v>311</v>
      </c>
      <c r="F116" s="2"/>
      <c r="G116" s="2"/>
    </row>
    <row r="117" spans="1:7" x14ac:dyDescent="0.2">
      <c r="A117" s="10">
        <v>8104</v>
      </c>
      <c r="B117" s="10" t="s">
        <v>66</v>
      </c>
      <c r="C117" s="16"/>
      <c r="D117" s="16">
        <v>410.4</v>
      </c>
      <c r="E117" s="13" t="s">
        <v>311</v>
      </c>
      <c r="F117" s="2"/>
      <c r="G117" s="2"/>
    </row>
    <row r="118" spans="1:7" x14ac:dyDescent="0.2">
      <c r="A118" s="10">
        <v>8107</v>
      </c>
      <c r="B118" s="10" t="s">
        <v>67</v>
      </c>
      <c r="C118" s="16"/>
      <c r="D118" s="16">
        <v>243</v>
      </c>
      <c r="E118" s="13"/>
      <c r="F118" s="2"/>
      <c r="G118" s="2"/>
    </row>
    <row r="119" spans="1:7" x14ac:dyDescent="0.2">
      <c r="A119" s="10">
        <v>8109</v>
      </c>
      <c r="B119" s="10" t="s">
        <v>68</v>
      </c>
      <c r="C119" s="16"/>
      <c r="D119" s="16">
        <v>75.599999999999994</v>
      </c>
      <c r="E119" s="13"/>
      <c r="F119" s="2"/>
      <c r="G119" s="2"/>
    </row>
    <row r="120" spans="1:7" x14ac:dyDescent="0.2">
      <c r="A120" s="10">
        <v>8110</v>
      </c>
      <c r="B120" s="10" t="s">
        <v>69</v>
      </c>
      <c r="C120" s="16"/>
      <c r="D120" s="16">
        <v>113.4</v>
      </c>
      <c r="E120" s="13"/>
      <c r="F120" s="2"/>
      <c r="G120" s="2"/>
    </row>
    <row r="121" spans="1:7" x14ac:dyDescent="0.2">
      <c r="A121" s="11" t="s">
        <v>54</v>
      </c>
      <c r="B121" s="10" t="s">
        <v>70</v>
      </c>
      <c r="C121" s="16"/>
      <c r="D121" s="16">
        <v>86.4</v>
      </c>
      <c r="E121" s="13" t="s">
        <v>312</v>
      </c>
      <c r="F121" s="2"/>
      <c r="G121" s="2"/>
    </row>
    <row r="122" spans="1:7" x14ac:dyDescent="0.2">
      <c r="A122" s="11" t="s">
        <v>55</v>
      </c>
      <c r="B122" s="10" t="s">
        <v>71</v>
      </c>
      <c r="C122" s="16"/>
      <c r="D122" s="16">
        <v>264.60000000000002</v>
      </c>
      <c r="E122" s="13" t="s">
        <v>313</v>
      </c>
      <c r="F122" s="2"/>
      <c r="G122" s="2"/>
    </row>
    <row r="123" spans="1:7" x14ac:dyDescent="0.2">
      <c r="A123" s="10">
        <v>8112</v>
      </c>
      <c r="B123" s="10" t="s">
        <v>72</v>
      </c>
      <c r="C123" s="16"/>
      <c r="D123" s="16">
        <v>243</v>
      </c>
      <c r="E123" s="13" t="s">
        <v>311</v>
      </c>
      <c r="F123" s="2"/>
      <c r="G123" s="2"/>
    </row>
    <row r="124" spans="1:7" x14ac:dyDescent="0.2">
      <c r="A124" s="10">
        <v>8115</v>
      </c>
      <c r="B124" s="10" t="s">
        <v>73</v>
      </c>
      <c r="C124" s="16"/>
      <c r="D124" s="16">
        <v>1306.8</v>
      </c>
      <c r="E124" s="13" t="s">
        <v>311</v>
      </c>
      <c r="F124" s="2"/>
      <c r="G124" s="2"/>
    </row>
    <row r="125" spans="1:7" x14ac:dyDescent="0.2">
      <c r="A125" s="10">
        <v>8117</v>
      </c>
      <c r="B125" s="10" t="s">
        <v>74</v>
      </c>
      <c r="C125" s="16"/>
      <c r="D125" s="16">
        <v>583.20000000000005</v>
      </c>
      <c r="E125" s="13" t="s">
        <v>311</v>
      </c>
      <c r="F125" s="2"/>
      <c r="G125" s="2"/>
    </row>
    <row r="126" spans="1:7" x14ac:dyDescent="0.2">
      <c r="A126" s="10">
        <v>8120</v>
      </c>
      <c r="B126" s="10" t="s">
        <v>75</v>
      </c>
      <c r="C126" s="16"/>
      <c r="D126" s="17">
        <v>955.8</v>
      </c>
      <c r="E126" s="13"/>
      <c r="F126" s="2"/>
      <c r="G126" s="2"/>
    </row>
    <row r="127" spans="1:7" x14ac:dyDescent="0.2">
      <c r="A127" s="10">
        <v>8121</v>
      </c>
      <c r="B127" s="10" t="s">
        <v>76</v>
      </c>
      <c r="C127" s="16"/>
      <c r="D127" s="16">
        <v>583.20000000000005</v>
      </c>
      <c r="E127" s="13" t="s">
        <v>311</v>
      </c>
      <c r="F127" s="2"/>
      <c r="G127" s="2"/>
    </row>
    <row r="128" spans="1:7" x14ac:dyDescent="0.2">
      <c r="A128" s="10">
        <v>8124</v>
      </c>
      <c r="B128" s="10" t="s">
        <v>77</v>
      </c>
      <c r="C128" s="16"/>
      <c r="D128" s="16">
        <v>113.4</v>
      </c>
      <c r="E128" s="13" t="s">
        <v>314</v>
      </c>
      <c r="F128" s="2"/>
      <c r="G128" s="2"/>
    </row>
    <row r="129" spans="1:7" x14ac:dyDescent="0.2">
      <c r="A129" s="10">
        <v>8129</v>
      </c>
      <c r="B129" s="10" t="s">
        <v>78</v>
      </c>
      <c r="C129" s="16"/>
      <c r="D129" s="16">
        <v>1350</v>
      </c>
      <c r="E129" s="13"/>
      <c r="F129" s="2"/>
      <c r="G129" s="2"/>
    </row>
    <row r="130" spans="1:7" x14ac:dyDescent="0.2">
      <c r="A130" s="10">
        <v>8131</v>
      </c>
      <c r="B130" s="10" t="s">
        <v>79</v>
      </c>
      <c r="C130" s="16"/>
      <c r="D130" s="16">
        <v>513</v>
      </c>
      <c r="E130" s="13"/>
      <c r="F130" s="2"/>
      <c r="G130" s="2"/>
    </row>
    <row r="131" spans="1:7" x14ac:dyDescent="0.2">
      <c r="A131" s="10">
        <v>8132</v>
      </c>
      <c r="B131" s="10" t="s">
        <v>80</v>
      </c>
      <c r="C131" s="16"/>
      <c r="D131" s="16">
        <v>901.8</v>
      </c>
      <c r="E131" s="13" t="s">
        <v>314</v>
      </c>
      <c r="F131" s="2"/>
      <c r="G131" s="2"/>
    </row>
    <row r="132" spans="1:7" x14ac:dyDescent="0.2">
      <c r="A132" s="10">
        <v>8133</v>
      </c>
      <c r="B132" s="10" t="s">
        <v>81</v>
      </c>
      <c r="C132" s="16"/>
      <c r="D132" s="16">
        <v>1058.4000000000001</v>
      </c>
      <c r="E132" s="13"/>
      <c r="F132" s="2"/>
      <c r="G132" s="2"/>
    </row>
    <row r="133" spans="1:7" x14ac:dyDescent="0.2">
      <c r="A133" s="10">
        <v>8135</v>
      </c>
      <c r="B133" s="10" t="s">
        <v>82</v>
      </c>
      <c r="C133" s="16"/>
      <c r="D133" s="16">
        <v>610.20000000000005</v>
      </c>
      <c r="E133" s="13"/>
      <c r="F133" s="2"/>
      <c r="G133" s="2"/>
    </row>
    <row r="134" spans="1:7" x14ac:dyDescent="0.2">
      <c r="A134" s="10">
        <v>8136</v>
      </c>
      <c r="B134" s="10" t="s">
        <v>83</v>
      </c>
      <c r="C134" s="16"/>
      <c r="D134" s="16">
        <v>491.4</v>
      </c>
      <c r="E134" s="13" t="s">
        <v>314</v>
      </c>
      <c r="F134" s="2"/>
      <c r="G134" s="2"/>
    </row>
    <row r="135" spans="1:7" x14ac:dyDescent="0.2">
      <c r="A135" s="10">
        <v>8137</v>
      </c>
      <c r="B135" s="10" t="s">
        <v>84</v>
      </c>
      <c r="C135" s="16"/>
      <c r="D135" s="16">
        <v>2365.1999999999998</v>
      </c>
      <c r="E135" s="13"/>
      <c r="F135" s="2"/>
      <c r="G135" s="2"/>
    </row>
    <row r="136" spans="1:7" x14ac:dyDescent="0.2">
      <c r="A136" s="10">
        <v>8139</v>
      </c>
      <c r="B136" s="10" t="s">
        <v>85</v>
      </c>
      <c r="C136" s="16"/>
      <c r="D136" s="16">
        <v>588.6</v>
      </c>
      <c r="E136" s="13" t="s">
        <v>311</v>
      </c>
      <c r="F136" s="2"/>
      <c r="G136" s="2"/>
    </row>
    <row r="137" spans="1:7" x14ac:dyDescent="0.2">
      <c r="A137" s="10">
        <v>8140</v>
      </c>
      <c r="B137" s="10" t="s">
        <v>86</v>
      </c>
      <c r="C137" s="16"/>
      <c r="D137" s="16">
        <v>891</v>
      </c>
      <c r="E137" s="13" t="s">
        <v>311</v>
      </c>
      <c r="F137" s="2"/>
      <c r="G137" s="2"/>
    </row>
    <row r="138" spans="1:7" x14ac:dyDescent="0.2">
      <c r="A138" s="10">
        <v>8142</v>
      </c>
      <c r="B138" s="10" t="s">
        <v>87</v>
      </c>
      <c r="C138" s="16"/>
      <c r="D138" s="16">
        <v>1058.4000000000001</v>
      </c>
      <c r="E138" s="13"/>
      <c r="F138" s="2"/>
      <c r="G138" s="2"/>
    </row>
    <row r="139" spans="1:7" x14ac:dyDescent="0.2">
      <c r="A139" s="10">
        <v>8145</v>
      </c>
      <c r="B139" s="10" t="s">
        <v>88</v>
      </c>
      <c r="C139" s="16"/>
      <c r="D139" s="16">
        <v>291.60000000000002</v>
      </c>
      <c r="E139" s="13"/>
      <c r="F139" s="2"/>
      <c r="G139" s="2"/>
    </row>
    <row r="140" spans="1:7" x14ac:dyDescent="0.2">
      <c r="A140" s="11" t="s">
        <v>56</v>
      </c>
      <c r="B140" s="10" t="s">
        <v>89</v>
      </c>
      <c r="C140" s="16"/>
      <c r="D140" s="16">
        <v>145.80000000000001</v>
      </c>
      <c r="E140" s="13"/>
      <c r="F140" s="2"/>
      <c r="G140" s="2"/>
    </row>
    <row r="141" spans="1:7" x14ac:dyDescent="0.2">
      <c r="A141" s="10">
        <v>8146</v>
      </c>
      <c r="B141" s="10" t="s">
        <v>90</v>
      </c>
      <c r="C141" s="16"/>
      <c r="D141" s="16">
        <v>572.4</v>
      </c>
      <c r="E141" s="13"/>
      <c r="F141" s="2"/>
      <c r="G141" s="2"/>
    </row>
    <row r="142" spans="1:7" x14ac:dyDescent="0.2">
      <c r="A142" s="10">
        <v>8148</v>
      </c>
      <c r="B142" s="10" t="s">
        <v>91</v>
      </c>
      <c r="C142" s="16"/>
      <c r="D142" s="16">
        <v>0</v>
      </c>
      <c r="E142" s="13"/>
      <c r="F142" s="2"/>
      <c r="G142" s="2"/>
    </row>
    <row r="143" spans="1:7" x14ac:dyDescent="0.2">
      <c r="A143" s="10">
        <v>8151</v>
      </c>
      <c r="B143" s="10" t="s">
        <v>92</v>
      </c>
      <c r="C143" s="16"/>
      <c r="D143" s="16">
        <v>680.4</v>
      </c>
      <c r="E143" s="13" t="s">
        <v>312</v>
      </c>
      <c r="F143" s="2"/>
      <c r="G143" s="2"/>
    </row>
    <row r="144" spans="1:7" x14ac:dyDescent="0.2">
      <c r="A144" s="10">
        <v>8154</v>
      </c>
      <c r="B144" s="10" t="s">
        <v>93</v>
      </c>
      <c r="C144" s="16"/>
      <c r="D144" s="16">
        <v>583.20000000000005</v>
      </c>
      <c r="E144" s="13" t="s">
        <v>311</v>
      </c>
      <c r="F144" s="2"/>
      <c r="G144" s="2"/>
    </row>
    <row r="145" spans="1:7" x14ac:dyDescent="0.2">
      <c r="A145" s="10">
        <v>8155</v>
      </c>
      <c r="B145" s="10" t="s">
        <v>94</v>
      </c>
      <c r="C145" s="16"/>
      <c r="D145" s="16">
        <v>475.2</v>
      </c>
      <c r="E145" s="13" t="s">
        <v>312</v>
      </c>
      <c r="F145" s="2"/>
      <c r="G145" s="2"/>
    </row>
    <row r="146" spans="1:7" x14ac:dyDescent="0.2">
      <c r="A146" s="10">
        <v>8156</v>
      </c>
      <c r="B146" s="10" t="s">
        <v>95</v>
      </c>
      <c r="C146" s="16"/>
      <c r="D146" s="16">
        <v>610.20000000000005</v>
      </c>
      <c r="E146" s="13"/>
      <c r="F146" s="2"/>
      <c r="G146" s="2"/>
    </row>
    <row r="147" spans="1:7" x14ac:dyDescent="0.2">
      <c r="A147" s="10">
        <v>8157</v>
      </c>
      <c r="B147" s="10" t="s">
        <v>96</v>
      </c>
      <c r="C147" s="16"/>
      <c r="D147" s="16">
        <v>675</v>
      </c>
      <c r="E147" s="13"/>
      <c r="F147" s="2"/>
      <c r="G147" s="2"/>
    </row>
    <row r="148" spans="1:7" x14ac:dyDescent="0.2">
      <c r="A148" s="10">
        <v>8158</v>
      </c>
      <c r="B148" s="10" t="s">
        <v>97</v>
      </c>
      <c r="C148" s="16"/>
      <c r="D148" s="16">
        <v>1404</v>
      </c>
      <c r="E148" s="13" t="s">
        <v>315</v>
      </c>
      <c r="F148" s="2"/>
      <c r="G148" s="2"/>
    </row>
    <row r="149" spans="1:7" x14ac:dyDescent="0.2">
      <c r="A149" s="10">
        <v>8159</v>
      </c>
      <c r="B149" s="10" t="s">
        <v>98</v>
      </c>
      <c r="C149" s="16"/>
      <c r="D149" s="16">
        <v>734.4</v>
      </c>
      <c r="E149" s="13" t="s">
        <v>312</v>
      </c>
      <c r="F149" s="2"/>
      <c r="G149" s="2"/>
    </row>
    <row r="150" spans="1:7" x14ac:dyDescent="0.2">
      <c r="A150" s="10">
        <v>8160</v>
      </c>
      <c r="B150" s="10" t="s">
        <v>99</v>
      </c>
      <c r="C150" s="16"/>
      <c r="D150" s="16">
        <v>637.20000000000005</v>
      </c>
      <c r="E150" s="13" t="s">
        <v>312</v>
      </c>
      <c r="F150" s="2"/>
      <c r="G150" s="2"/>
    </row>
    <row r="151" spans="1:7" x14ac:dyDescent="0.2">
      <c r="A151" s="10">
        <v>8161</v>
      </c>
      <c r="B151" s="10" t="s">
        <v>100</v>
      </c>
      <c r="C151" s="16"/>
      <c r="D151" s="16">
        <v>243</v>
      </c>
      <c r="E151" s="13" t="s">
        <v>312</v>
      </c>
      <c r="F151" s="2"/>
      <c r="G151" s="2"/>
    </row>
    <row r="152" spans="1:7" x14ac:dyDescent="0.2">
      <c r="A152" s="10">
        <v>8162</v>
      </c>
      <c r="B152" s="10" t="s">
        <v>101</v>
      </c>
      <c r="C152" s="16"/>
      <c r="D152" s="16">
        <v>243</v>
      </c>
      <c r="E152" s="13" t="s">
        <v>312</v>
      </c>
      <c r="F152" s="2"/>
      <c r="G152" s="2"/>
    </row>
    <row r="153" spans="1:7" x14ac:dyDescent="0.2">
      <c r="A153" s="10">
        <v>8163</v>
      </c>
      <c r="B153" s="10" t="s">
        <v>102</v>
      </c>
      <c r="C153" s="16"/>
      <c r="D153" s="16">
        <v>345.6</v>
      </c>
      <c r="E153" s="13" t="s">
        <v>315</v>
      </c>
      <c r="F153" s="2"/>
      <c r="G153" s="2"/>
    </row>
    <row r="154" spans="1:7" x14ac:dyDescent="0.2">
      <c r="A154" s="10">
        <v>8164</v>
      </c>
      <c r="B154" s="10" t="s">
        <v>103</v>
      </c>
      <c r="C154" s="16"/>
      <c r="D154" s="16">
        <v>437.4</v>
      </c>
      <c r="E154" s="13" t="s">
        <v>311</v>
      </c>
      <c r="F154" s="2"/>
      <c r="G154" s="2"/>
    </row>
    <row r="155" spans="1:7" x14ac:dyDescent="0.2">
      <c r="A155" s="10">
        <v>8165</v>
      </c>
      <c r="B155" s="10" t="s">
        <v>104</v>
      </c>
      <c r="C155" s="16"/>
      <c r="D155" s="16">
        <v>880.2</v>
      </c>
      <c r="E155" s="13" t="s">
        <v>316</v>
      </c>
      <c r="F155" s="2"/>
      <c r="G155" s="2"/>
    </row>
    <row r="156" spans="1:7" x14ac:dyDescent="0.2">
      <c r="A156" s="10">
        <v>8166</v>
      </c>
      <c r="B156" s="10" t="s">
        <v>105</v>
      </c>
      <c r="C156" s="16"/>
      <c r="D156" s="16">
        <v>351</v>
      </c>
      <c r="E156" s="13" t="s">
        <v>312</v>
      </c>
      <c r="F156" s="2"/>
      <c r="G156" s="2"/>
    </row>
    <row r="157" spans="1:7" x14ac:dyDescent="0.2">
      <c r="A157" s="10">
        <v>8167</v>
      </c>
      <c r="B157" s="10" t="s">
        <v>106</v>
      </c>
      <c r="C157" s="16"/>
      <c r="D157" s="16">
        <v>513</v>
      </c>
      <c r="E157" s="13" t="s">
        <v>312</v>
      </c>
      <c r="F157" s="2"/>
      <c r="G157" s="2"/>
    </row>
    <row r="158" spans="1:7" x14ac:dyDescent="0.2">
      <c r="A158" s="10">
        <v>8169</v>
      </c>
      <c r="B158" s="10" t="s">
        <v>107</v>
      </c>
      <c r="C158" s="16"/>
      <c r="D158" s="16">
        <v>734.4</v>
      </c>
      <c r="E158" s="13" t="s">
        <v>317</v>
      </c>
      <c r="F158" s="2"/>
      <c r="G158" s="2"/>
    </row>
    <row r="159" spans="1:7" x14ac:dyDescent="0.2">
      <c r="A159" s="10">
        <v>8171</v>
      </c>
      <c r="B159" s="10" t="s">
        <v>108</v>
      </c>
      <c r="C159" s="16"/>
      <c r="D159" s="16">
        <v>734.4</v>
      </c>
      <c r="E159" s="13" t="s">
        <v>317</v>
      </c>
      <c r="F159" s="2"/>
      <c r="G159" s="2"/>
    </row>
    <row r="160" spans="1:7" x14ac:dyDescent="0.2">
      <c r="A160" s="10">
        <v>8172</v>
      </c>
      <c r="B160" s="10" t="s">
        <v>109</v>
      </c>
      <c r="C160" s="16"/>
      <c r="D160" s="16">
        <v>880.2</v>
      </c>
      <c r="E160" s="13" t="s">
        <v>318</v>
      </c>
      <c r="F160" s="2"/>
      <c r="G160" s="2"/>
    </row>
    <row r="161" spans="1:7" x14ac:dyDescent="0.2">
      <c r="A161" s="10">
        <v>8173</v>
      </c>
      <c r="B161" s="10" t="s">
        <v>110</v>
      </c>
      <c r="C161" s="16"/>
      <c r="D161" s="16">
        <v>1058.4000000000001</v>
      </c>
      <c r="E161" s="13" t="s">
        <v>313</v>
      </c>
      <c r="F161" s="2"/>
      <c r="G161" s="2"/>
    </row>
    <row r="162" spans="1:7" x14ac:dyDescent="0.2">
      <c r="A162" s="10">
        <v>8175</v>
      </c>
      <c r="B162" s="10" t="s">
        <v>111</v>
      </c>
      <c r="C162" s="16"/>
      <c r="D162" s="16">
        <v>1344.6</v>
      </c>
      <c r="E162" s="13" t="s">
        <v>313</v>
      </c>
      <c r="F162" s="2"/>
      <c r="G162" s="2"/>
    </row>
    <row r="163" spans="1:7" x14ac:dyDescent="0.2">
      <c r="A163" s="10">
        <v>8176</v>
      </c>
      <c r="B163" s="10" t="s">
        <v>112</v>
      </c>
      <c r="C163" s="16"/>
      <c r="D163" s="16">
        <v>739.8</v>
      </c>
      <c r="E163" s="13" t="s">
        <v>319</v>
      </c>
      <c r="F163" s="2"/>
      <c r="G163" s="2"/>
    </row>
    <row r="164" spans="1:7" x14ac:dyDescent="0.2">
      <c r="A164" s="10">
        <v>8189</v>
      </c>
      <c r="B164" s="10" t="s">
        <v>113</v>
      </c>
      <c r="C164" s="16"/>
      <c r="D164" s="16">
        <v>437.4</v>
      </c>
      <c r="E164" s="13" t="s">
        <v>311</v>
      </c>
      <c r="F164" s="2"/>
      <c r="G164" s="2"/>
    </row>
    <row r="165" spans="1:7" x14ac:dyDescent="0.2">
      <c r="A165" s="10">
        <v>8190</v>
      </c>
      <c r="B165" s="10" t="s">
        <v>114</v>
      </c>
      <c r="C165" s="16"/>
      <c r="D165" s="16">
        <v>583.20000000000005</v>
      </c>
      <c r="E165" s="13" t="s">
        <v>311</v>
      </c>
      <c r="F165" s="2"/>
      <c r="G165" s="2"/>
    </row>
    <row r="166" spans="1:7" x14ac:dyDescent="0.2">
      <c r="A166" s="10">
        <v>8192</v>
      </c>
      <c r="B166" s="10" t="s">
        <v>32</v>
      </c>
      <c r="C166" s="16"/>
      <c r="D166" s="16">
        <v>318.60000000000002</v>
      </c>
      <c r="E166" s="13" t="s">
        <v>313</v>
      </c>
      <c r="F166" s="2"/>
      <c r="G166" s="2"/>
    </row>
    <row r="167" spans="1:7" x14ac:dyDescent="0.2">
      <c r="A167" s="10">
        <v>8195</v>
      </c>
      <c r="B167" s="10" t="s">
        <v>115</v>
      </c>
      <c r="C167" s="16"/>
      <c r="D167" s="16">
        <v>1738.8</v>
      </c>
      <c r="E167" s="13" t="s">
        <v>311</v>
      </c>
      <c r="F167" s="2"/>
      <c r="G167" s="2"/>
    </row>
    <row r="168" spans="1:7" x14ac:dyDescent="0.2">
      <c r="A168" s="10">
        <v>8196</v>
      </c>
      <c r="B168" s="10" t="s">
        <v>116</v>
      </c>
      <c r="C168" s="16"/>
      <c r="D168" s="16">
        <v>1738.8</v>
      </c>
      <c r="E168" s="13" t="s">
        <v>311</v>
      </c>
      <c r="F168" s="2"/>
      <c r="G168" s="2"/>
    </row>
    <row r="169" spans="1:7" x14ac:dyDescent="0.2">
      <c r="A169" s="10">
        <v>8197</v>
      </c>
      <c r="B169" s="10" t="s">
        <v>117</v>
      </c>
      <c r="C169" s="16"/>
      <c r="D169" s="16">
        <v>2613.6</v>
      </c>
      <c r="E169" s="13" t="s">
        <v>311</v>
      </c>
      <c r="F169" s="2"/>
      <c r="G169" s="2"/>
    </row>
    <row r="170" spans="1:7" x14ac:dyDescent="0.2">
      <c r="A170" s="10">
        <v>8201</v>
      </c>
      <c r="B170" s="10" t="s">
        <v>118</v>
      </c>
      <c r="C170" s="16"/>
      <c r="D170" s="16">
        <v>675</v>
      </c>
      <c r="E170" s="13" t="s">
        <v>313</v>
      </c>
      <c r="F170" s="2"/>
      <c r="G170" s="2"/>
    </row>
    <row r="171" spans="1:7" x14ac:dyDescent="0.2">
      <c r="A171" s="10">
        <v>8202</v>
      </c>
      <c r="B171" s="10" t="s">
        <v>119</v>
      </c>
      <c r="C171" s="16"/>
      <c r="D171" s="16">
        <v>437.4</v>
      </c>
      <c r="E171" s="13" t="s">
        <v>313</v>
      </c>
      <c r="F171" s="2"/>
      <c r="G171" s="2"/>
    </row>
    <row r="172" spans="1:7" x14ac:dyDescent="0.2">
      <c r="A172" s="10">
        <v>8204</v>
      </c>
      <c r="B172" s="10" t="s">
        <v>120</v>
      </c>
      <c r="C172" s="16"/>
      <c r="D172" s="16">
        <v>2640.6</v>
      </c>
      <c r="E172" s="13" t="s">
        <v>313</v>
      </c>
      <c r="F172" s="2"/>
      <c r="G172" s="2"/>
    </row>
    <row r="173" spans="1:7" x14ac:dyDescent="0.2">
      <c r="A173" s="10">
        <v>8205</v>
      </c>
      <c r="B173" s="10" t="s">
        <v>121</v>
      </c>
      <c r="C173" s="16"/>
      <c r="D173" s="16">
        <v>1738.8</v>
      </c>
      <c r="E173" s="13" t="s">
        <v>311</v>
      </c>
      <c r="F173" s="2"/>
      <c r="G173" s="2"/>
    </row>
    <row r="174" spans="1:7" x14ac:dyDescent="0.2">
      <c r="A174" s="10">
        <v>8213</v>
      </c>
      <c r="B174" s="10" t="s">
        <v>122</v>
      </c>
      <c r="C174" s="16"/>
      <c r="D174" s="16">
        <v>2640.6</v>
      </c>
      <c r="E174" s="13" t="s">
        <v>313</v>
      </c>
      <c r="F174" s="2"/>
      <c r="G174" s="2"/>
    </row>
    <row r="175" spans="1:7" x14ac:dyDescent="0.2">
      <c r="A175" s="10">
        <v>8214</v>
      </c>
      <c r="B175" s="10" t="s">
        <v>123</v>
      </c>
      <c r="C175" s="16"/>
      <c r="D175" s="16">
        <v>1841.4</v>
      </c>
      <c r="E175" s="13" t="s">
        <v>313</v>
      </c>
      <c r="F175" s="2"/>
      <c r="G175" s="2"/>
    </row>
    <row r="176" spans="1:7" x14ac:dyDescent="0.2">
      <c r="A176" s="10">
        <v>8222</v>
      </c>
      <c r="B176" s="10" t="s">
        <v>124</v>
      </c>
      <c r="C176" s="16"/>
      <c r="D176" s="16">
        <v>513</v>
      </c>
      <c r="E176" s="13" t="s">
        <v>316</v>
      </c>
      <c r="F176" s="2"/>
      <c r="G176" s="2"/>
    </row>
    <row r="177" spans="1:7" x14ac:dyDescent="0.2">
      <c r="A177" s="10">
        <v>8231</v>
      </c>
      <c r="B177" s="10" t="s">
        <v>125</v>
      </c>
      <c r="C177" s="16"/>
      <c r="D177" s="16">
        <v>14315.4</v>
      </c>
      <c r="E177" s="13" t="s">
        <v>313</v>
      </c>
      <c r="F177" s="2"/>
      <c r="G177" s="2"/>
    </row>
    <row r="178" spans="1:7" x14ac:dyDescent="0.2">
      <c r="A178" s="10">
        <v>8232</v>
      </c>
      <c r="B178" s="10" t="s">
        <v>126</v>
      </c>
      <c r="C178" s="16"/>
      <c r="D178" s="16">
        <v>10054.799999999999</v>
      </c>
      <c r="E178" s="13" t="s">
        <v>313</v>
      </c>
      <c r="F178" s="2"/>
      <c r="G178" s="2"/>
    </row>
    <row r="179" spans="1:7" x14ac:dyDescent="0.2">
      <c r="A179" s="10">
        <v>8233</v>
      </c>
      <c r="B179" s="10" t="s">
        <v>127</v>
      </c>
      <c r="C179" s="16"/>
      <c r="D179" s="16">
        <v>3148.2</v>
      </c>
      <c r="E179" s="13" t="s">
        <v>313</v>
      </c>
      <c r="F179" s="2"/>
      <c r="G179" s="2"/>
    </row>
    <row r="180" spans="1:7" x14ac:dyDescent="0.2">
      <c r="A180" s="10">
        <v>8234</v>
      </c>
      <c r="B180" s="10" t="s">
        <v>128</v>
      </c>
      <c r="C180" s="16"/>
      <c r="D180" s="16">
        <v>3148.2</v>
      </c>
      <c r="E180" s="13" t="s">
        <v>313</v>
      </c>
      <c r="F180" s="2"/>
      <c r="G180" s="2"/>
    </row>
    <row r="181" spans="1:7" x14ac:dyDescent="0.2">
      <c r="A181" s="10">
        <v>8235</v>
      </c>
      <c r="B181" s="10" t="s">
        <v>129</v>
      </c>
      <c r="C181" s="16"/>
      <c r="D181" s="16">
        <v>4746.6000000000004</v>
      </c>
      <c r="E181" s="13" t="s">
        <v>313</v>
      </c>
      <c r="F181" s="2"/>
      <c r="G181" s="2"/>
    </row>
    <row r="182" spans="1:7" x14ac:dyDescent="0.2">
      <c r="A182" s="10">
        <v>8236</v>
      </c>
      <c r="B182" s="10" t="s">
        <v>130</v>
      </c>
      <c r="C182" s="16"/>
      <c r="D182" s="16">
        <v>4746.6000000000004</v>
      </c>
      <c r="E182" s="13" t="s">
        <v>313</v>
      </c>
      <c r="F182" s="2"/>
      <c r="G182" s="2"/>
    </row>
    <row r="183" spans="1:7" x14ac:dyDescent="0.2">
      <c r="A183" s="10">
        <v>8237</v>
      </c>
      <c r="B183" s="10" t="s">
        <v>131</v>
      </c>
      <c r="C183" s="16"/>
      <c r="D183" s="16">
        <v>4746.6000000000004</v>
      </c>
      <c r="E183" s="13" t="s">
        <v>313</v>
      </c>
      <c r="F183" s="2"/>
      <c r="G183" s="2"/>
    </row>
    <row r="184" spans="1:7" x14ac:dyDescent="0.2">
      <c r="A184" s="10">
        <v>8238</v>
      </c>
      <c r="B184" s="10" t="s">
        <v>132</v>
      </c>
      <c r="C184" s="16"/>
      <c r="D184" s="16">
        <v>6339.6</v>
      </c>
      <c r="E184" s="13" t="s">
        <v>313</v>
      </c>
      <c r="F184" s="2"/>
      <c r="G184" s="2"/>
    </row>
    <row r="185" spans="1:7" x14ac:dyDescent="0.2">
      <c r="A185" s="10">
        <v>8239</v>
      </c>
      <c r="B185" s="10" t="s">
        <v>133</v>
      </c>
      <c r="C185" s="16"/>
      <c r="D185" s="16">
        <v>6339.6</v>
      </c>
      <c r="E185" s="13" t="s">
        <v>313</v>
      </c>
      <c r="F185" s="2"/>
      <c r="G185" s="2"/>
    </row>
    <row r="186" spans="1:7" x14ac:dyDescent="0.2">
      <c r="A186" s="10">
        <v>8240</v>
      </c>
      <c r="B186" s="10" t="s">
        <v>134</v>
      </c>
      <c r="C186" s="16"/>
      <c r="D186" s="16">
        <v>6339.6</v>
      </c>
      <c r="E186" s="13" t="s">
        <v>313</v>
      </c>
      <c r="F186" s="2"/>
      <c r="G186" s="2"/>
    </row>
    <row r="187" spans="1:7" x14ac:dyDescent="0.2">
      <c r="A187" s="10">
        <v>8241</v>
      </c>
      <c r="B187" s="10" t="s">
        <v>135</v>
      </c>
      <c r="C187" s="16"/>
      <c r="D187" s="16">
        <v>6339.6</v>
      </c>
      <c r="E187" s="13" t="s">
        <v>313</v>
      </c>
      <c r="F187" s="2"/>
      <c r="G187" s="2"/>
    </row>
    <row r="188" spans="1:7" x14ac:dyDescent="0.2">
      <c r="A188" s="10">
        <v>8244</v>
      </c>
      <c r="B188" s="10" t="s">
        <v>136</v>
      </c>
      <c r="C188" s="16"/>
      <c r="D188" s="16">
        <v>10054.799999999999</v>
      </c>
      <c r="E188" s="13" t="s">
        <v>313</v>
      </c>
      <c r="F188" s="2"/>
      <c r="G188" s="2"/>
    </row>
    <row r="189" spans="1:7" x14ac:dyDescent="0.2">
      <c r="A189" s="10">
        <v>8245</v>
      </c>
      <c r="B189" s="10" t="s">
        <v>137</v>
      </c>
      <c r="C189" s="16"/>
      <c r="D189" s="16">
        <v>10054.799999999999</v>
      </c>
      <c r="E189" s="13" t="s">
        <v>313</v>
      </c>
      <c r="F189" s="2"/>
      <c r="G189" s="2"/>
    </row>
    <row r="190" spans="1:7" x14ac:dyDescent="0.2">
      <c r="A190" s="10">
        <v>8246</v>
      </c>
      <c r="B190" s="10" t="s">
        <v>138</v>
      </c>
      <c r="C190" s="16"/>
      <c r="D190" s="16">
        <v>6534</v>
      </c>
      <c r="E190" s="13" t="s">
        <v>313</v>
      </c>
      <c r="F190" s="2"/>
      <c r="G190" s="2"/>
    </row>
    <row r="191" spans="1:7" x14ac:dyDescent="0.2">
      <c r="A191" s="10">
        <v>8255</v>
      </c>
      <c r="B191" s="10" t="s">
        <v>139</v>
      </c>
      <c r="C191" s="16"/>
      <c r="D191" s="16">
        <v>534.6</v>
      </c>
      <c r="E191" s="13" t="s">
        <v>313</v>
      </c>
      <c r="F191" s="2"/>
      <c r="G191" s="2"/>
    </row>
    <row r="192" spans="1:7" x14ac:dyDescent="0.2">
      <c r="A192" s="10">
        <v>8259</v>
      </c>
      <c r="B192" s="10" t="s">
        <v>140</v>
      </c>
      <c r="C192" s="16"/>
      <c r="D192" s="16">
        <v>2602.8000000000002</v>
      </c>
      <c r="E192" s="13" t="s">
        <v>313</v>
      </c>
      <c r="F192" s="2"/>
      <c r="G192" s="2"/>
    </row>
    <row r="193" spans="1:7" x14ac:dyDescent="0.2">
      <c r="A193" s="10">
        <v>8263</v>
      </c>
      <c r="B193" s="10" t="s">
        <v>141</v>
      </c>
      <c r="C193" s="16"/>
      <c r="D193" s="16">
        <v>1641.6</v>
      </c>
      <c r="E193" s="13" t="s">
        <v>313</v>
      </c>
      <c r="F193" s="2"/>
      <c r="G193" s="2"/>
    </row>
    <row r="194" spans="1:7" x14ac:dyDescent="0.2">
      <c r="A194" s="10">
        <v>8267</v>
      </c>
      <c r="B194" s="10" t="s">
        <v>142</v>
      </c>
      <c r="C194" s="16"/>
      <c r="D194" s="16">
        <v>3801.6</v>
      </c>
      <c r="E194" s="13" t="s">
        <v>313</v>
      </c>
      <c r="F194" s="2"/>
      <c r="G194" s="2"/>
    </row>
    <row r="195" spans="1:7" x14ac:dyDescent="0.2">
      <c r="A195" s="10">
        <v>8269</v>
      </c>
      <c r="B195" s="10" t="s">
        <v>143</v>
      </c>
      <c r="C195" s="16"/>
      <c r="D195" s="16">
        <v>880.2</v>
      </c>
      <c r="E195" s="13" t="s">
        <v>313</v>
      </c>
      <c r="F195" s="2"/>
      <c r="G195" s="2"/>
    </row>
    <row r="196" spans="1:7" x14ac:dyDescent="0.2">
      <c r="A196" s="10">
        <v>8270</v>
      </c>
      <c r="B196" s="10" t="s">
        <v>144</v>
      </c>
      <c r="C196" s="16"/>
      <c r="D196" s="16">
        <v>588.6</v>
      </c>
      <c r="E196" s="13" t="s">
        <v>313</v>
      </c>
      <c r="F196" s="2"/>
      <c r="G196" s="2"/>
    </row>
    <row r="197" spans="1:7" x14ac:dyDescent="0.2">
      <c r="A197" s="10">
        <v>8271</v>
      </c>
      <c r="B197" s="10" t="s">
        <v>145</v>
      </c>
      <c r="C197" s="16"/>
      <c r="D197" s="16">
        <v>588.6</v>
      </c>
      <c r="E197" s="13" t="s">
        <v>313</v>
      </c>
      <c r="F197" s="2"/>
      <c r="G197" s="2"/>
    </row>
    <row r="198" spans="1:7" x14ac:dyDescent="0.2">
      <c r="A198" s="10">
        <v>8273</v>
      </c>
      <c r="B198" s="10" t="s">
        <v>146</v>
      </c>
      <c r="C198" s="16"/>
      <c r="D198" s="16">
        <v>513</v>
      </c>
      <c r="E198" s="13" t="s">
        <v>313</v>
      </c>
      <c r="F198" s="2"/>
      <c r="G198" s="2"/>
    </row>
    <row r="199" spans="1:7" x14ac:dyDescent="0.2">
      <c r="A199" s="10">
        <v>8275</v>
      </c>
      <c r="B199" s="10" t="s">
        <v>147</v>
      </c>
      <c r="C199" s="16"/>
      <c r="D199" s="16">
        <v>513</v>
      </c>
      <c r="E199" s="13" t="s">
        <v>313</v>
      </c>
      <c r="F199" s="2"/>
      <c r="G199" s="2"/>
    </row>
    <row r="200" spans="1:7" x14ac:dyDescent="0.2">
      <c r="A200" s="10">
        <v>8281</v>
      </c>
      <c r="B200" s="10" t="s">
        <v>148</v>
      </c>
      <c r="C200" s="16"/>
      <c r="D200" s="16">
        <v>5346</v>
      </c>
      <c r="E200" s="13" t="s">
        <v>313</v>
      </c>
      <c r="F200" s="2"/>
      <c r="G200" s="2"/>
    </row>
    <row r="201" spans="1:7" x14ac:dyDescent="0.2">
      <c r="A201" s="10">
        <v>8283</v>
      </c>
      <c r="B201" s="10" t="s">
        <v>149</v>
      </c>
      <c r="C201" s="16"/>
      <c r="D201" s="16">
        <v>4811.3999999999996</v>
      </c>
      <c r="E201" s="13" t="s">
        <v>313</v>
      </c>
      <c r="F201" s="2"/>
      <c r="G201" s="2"/>
    </row>
    <row r="202" spans="1:7" x14ac:dyDescent="0.2">
      <c r="A202" s="10">
        <v>8284</v>
      </c>
      <c r="B202" s="10" t="s">
        <v>150</v>
      </c>
      <c r="C202" s="16"/>
      <c r="D202" s="16">
        <v>5346</v>
      </c>
      <c r="E202" s="13" t="s">
        <v>313</v>
      </c>
      <c r="F202" s="2"/>
      <c r="G202" s="2"/>
    </row>
    <row r="203" spans="1:7" x14ac:dyDescent="0.2">
      <c r="A203" s="10">
        <v>8301</v>
      </c>
      <c r="B203" s="10" t="s">
        <v>151</v>
      </c>
      <c r="C203" s="16"/>
      <c r="D203" s="16">
        <v>912.6</v>
      </c>
      <c r="E203" s="13" t="s">
        <v>316</v>
      </c>
      <c r="F203" s="2"/>
      <c r="G203" s="2"/>
    </row>
    <row r="204" spans="1:7" x14ac:dyDescent="0.2">
      <c r="A204" s="10">
        <v>8303</v>
      </c>
      <c r="B204" s="10" t="s">
        <v>152</v>
      </c>
      <c r="C204" s="16"/>
      <c r="D204" s="16">
        <v>81</v>
      </c>
      <c r="E204" s="13" t="s">
        <v>314</v>
      </c>
      <c r="F204" s="2"/>
      <c r="G204" s="2"/>
    </row>
    <row r="205" spans="1:7" x14ac:dyDescent="0.2">
      <c r="A205" s="10">
        <v>8304</v>
      </c>
      <c r="B205" s="10" t="s">
        <v>153</v>
      </c>
      <c r="C205" s="16"/>
      <c r="D205" s="16">
        <v>550.79999999999995</v>
      </c>
      <c r="E205" s="13"/>
      <c r="F205" s="2"/>
      <c r="G205" s="2"/>
    </row>
    <row r="206" spans="1:7" x14ac:dyDescent="0.2">
      <c r="A206" s="11" t="s">
        <v>57</v>
      </c>
      <c r="B206" s="10" t="s">
        <v>154</v>
      </c>
      <c r="C206" s="16"/>
      <c r="D206" s="16">
        <v>237.6</v>
      </c>
      <c r="E206" s="13" t="s">
        <v>314</v>
      </c>
      <c r="F206" s="2"/>
      <c r="G206" s="2"/>
    </row>
    <row r="207" spans="1:7" x14ac:dyDescent="0.2">
      <c r="A207" s="11" t="s">
        <v>58</v>
      </c>
      <c r="B207" s="10" t="s">
        <v>155</v>
      </c>
      <c r="C207" s="16"/>
      <c r="D207" s="16">
        <v>513</v>
      </c>
      <c r="E207" s="13"/>
      <c r="F207" s="2"/>
      <c r="G207" s="2"/>
    </row>
    <row r="208" spans="1:7" x14ac:dyDescent="0.2">
      <c r="A208" s="10">
        <v>8307</v>
      </c>
      <c r="B208" s="10" t="s">
        <v>156</v>
      </c>
      <c r="C208" s="16"/>
      <c r="D208" s="16">
        <v>885.6</v>
      </c>
      <c r="E208" s="13" t="s">
        <v>314</v>
      </c>
      <c r="F208" s="2"/>
      <c r="G208" s="2"/>
    </row>
    <row r="209" spans="1:7" x14ac:dyDescent="0.2">
      <c r="A209" s="10">
        <v>8308</v>
      </c>
      <c r="B209" s="10" t="s">
        <v>157</v>
      </c>
      <c r="C209" s="16"/>
      <c r="D209" s="17">
        <v>0</v>
      </c>
      <c r="E209" s="13" t="s">
        <v>312</v>
      </c>
      <c r="F209" s="2"/>
      <c r="G209" s="2"/>
    </row>
    <row r="210" spans="1:7" x14ac:dyDescent="0.2">
      <c r="A210" s="10">
        <v>8309</v>
      </c>
      <c r="B210" s="10" t="s">
        <v>158</v>
      </c>
      <c r="C210" s="16"/>
      <c r="D210" s="17">
        <v>4352.3999999999996</v>
      </c>
      <c r="E210" s="13" t="s">
        <v>312</v>
      </c>
      <c r="F210" s="2"/>
      <c r="G210" s="2"/>
    </row>
    <row r="211" spans="1:7" x14ac:dyDescent="0.2">
      <c r="A211" s="10">
        <v>8310</v>
      </c>
      <c r="B211" s="10" t="s">
        <v>159</v>
      </c>
      <c r="C211" s="16"/>
      <c r="D211" s="16">
        <v>232.2</v>
      </c>
      <c r="E211" s="13" t="s">
        <v>312</v>
      </c>
      <c r="F211" s="2"/>
      <c r="G211" s="2"/>
    </row>
    <row r="212" spans="1:7" x14ac:dyDescent="0.2">
      <c r="A212" s="10">
        <v>8318</v>
      </c>
      <c r="B212" s="10" t="s">
        <v>160</v>
      </c>
      <c r="C212" s="16"/>
      <c r="D212" s="16">
        <v>945</v>
      </c>
      <c r="E212" s="13" t="s">
        <v>314</v>
      </c>
      <c r="F212" s="2"/>
      <c r="G212" s="2"/>
    </row>
    <row r="213" spans="1:7" x14ac:dyDescent="0.2">
      <c r="A213" s="10">
        <v>8325</v>
      </c>
      <c r="B213" s="10" t="s">
        <v>161</v>
      </c>
      <c r="C213" s="16"/>
      <c r="D213" s="16">
        <v>1738.8</v>
      </c>
      <c r="E213" s="13" t="s">
        <v>314</v>
      </c>
      <c r="F213" s="2"/>
      <c r="G213" s="2"/>
    </row>
    <row r="214" spans="1:7" x14ac:dyDescent="0.2">
      <c r="A214" s="10">
        <v>8327</v>
      </c>
      <c r="B214" s="10" t="s">
        <v>162</v>
      </c>
      <c r="C214" s="16"/>
      <c r="D214" s="16">
        <v>799.2</v>
      </c>
      <c r="E214" s="13" t="s">
        <v>314</v>
      </c>
      <c r="F214" s="2"/>
      <c r="G214" s="2"/>
    </row>
    <row r="215" spans="1:7" ht="119" x14ac:dyDescent="0.2">
      <c r="A215" s="12">
        <v>8328</v>
      </c>
      <c r="B215" s="14" t="s">
        <v>163</v>
      </c>
      <c r="C215" s="18"/>
      <c r="D215" s="18">
        <v>1258.2</v>
      </c>
      <c r="E215" s="15" t="s">
        <v>314</v>
      </c>
      <c r="F215" s="2"/>
      <c r="G215" s="2"/>
    </row>
    <row r="216" spans="1:7" ht="136" x14ac:dyDescent="0.2">
      <c r="A216" s="12">
        <v>8329</v>
      </c>
      <c r="B216" s="14" t="s">
        <v>164</v>
      </c>
      <c r="C216" s="18"/>
      <c r="D216" s="18">
        <v>1522.8</v>
      </c>
      <c r="E216" s="15" t="s">
        <v>314</v>
      </c>
      <c r="F216" s="2"/>
      <c r="G216" s="2"/>
    </row>
    <row r="217" spans="1:7" x14ac:dyDescent="0.2">
      <c r="A217" s="10">
        <v>8330</v>
      </c>
      <c r="B217" s="10" t="s">
        <v>165</v>
      </c>
      <c r="C217" s="16"/>
      <c r="D217" s="16">
        <v>658.8</v>
      </c>
      <c r="E217" s="13" t="s">
        <v>314</v>
      </c>
      <c r="F217" s="2"/>
      <c r="G217" s="2"/>
    </row>
    <row r="218" spans="1:7" x14ac:dyDescent="0.2">
      <c r="A218" s="10">
        <v>8332</v>
      </c>
      <c r="B218" s="10" t="s">
        <v>166</v>
      </c>
      <c r="C218" s="16"/>
      <c r="D218" s="16">
        <v>680.4</v>
      </c>
      <c r="E218" s="13" t="s">
        <v>314</v>
      </c>
      <c r="F218" s="2"/>
      <c r="G218" s="2"/>
    </row>
    <row r="219" spans="1:7" x14ac:dyDescent="0.2">
      <c r="A219" s="10">
        <v>8333</v>
      </c>
      <c r="B219" s="10" t="s">
        <v>167</v>
      </c>
      <c r="C219" s="16"/>
      <c r="D219" s="16">
        <v>945</v>
      </c>
      <c r="E219" s="13" t="s">
        <v>314</v>
      </c>
      <c r="F219" s="2"/>
      <c r="G219" s="2"/>
    </row>
    <row r="220" spans="1:7" x14ac:dyDescent="0.2">
      <c r="A220" s="10">
        <v>8334</v>
      </c>
      <c r="B220" s="10" t="s">
        <v>168</v>
      </c>
      <c r="C220" s="16"/>
      <c r="D220" s="16">
        <v>1009.8</v>
      </c>
      <c r="E220" s="13" t="s">
        <v>314</v>
      </c>
      <c r="F220" s="2"/>
      <c r="G220" s="2"/>
    </row>
    <row r="221" spans="1:7" x14ac:dyDescent="0.2">
      <c r="A221" s="10">
        <v>8335</v>
      </c>
      <c r="B221" s="10" t="s">
        <v>169</v>
      </c>
      <c r="C221" s="16"/>
      <c r="D221" s="16">
        <v>3034.8</v>
      </c>
      <c r="E221" s="13" t="s">
        <v>314</v>
      </c>
      <c r="F221" s="2"/>
      <c r="G221" s="2"/>
    </row>
    <row r="222" spans="1:7" x14ac:dyDescent="0.2">
      <c r="A222" s="10">
        <v>8336</v>
      </c>
      <c r="B222" s="10" t="s">
        <v>170</v>
      </c>
      <c r="C222" s="16"/>
      <c r="D222" s="16">
        <v>3034.8</v>
      </c>
      <c r="E222" s="13" t="s">
        <v>314</v>
      </c>
      <c r="F222" s="2"/>
      <c r="G222" s="2"/>
    </row>
    <row r="223" spans="1:7" ht="119" x14ac:dyDescent="0.2">
      <c r="A223" s="12">
        <v>8337</v>
      </c>
      <c r="B223" s="14" t="s">
        <v>171</v>
      </c>
      <c r="C223" s="16"/>
      <c r="D223" s="18">
        <v>1404</v>
      </c>
      <c r="E223" s="15" t="s">
        <v>314</v>
      </c>
      <c r="F223" s="2"/>
      <c r="G223" s="2"/>
    </row>
    <row r="224" spans="1:7" x14ac:dyDescent="0.2">
      <c r="A224" s="10">
        <v>8338</v>
      </c>
      <c r="B224" s="10" t="s">
        <v>172</v>
      </c>
      <c r="C224" s="16"/>
      <c r="D224" s="16">
        <v>4347</v>
      </c>
      <c r="E224" s="13" t="s">
        <v>314</v>
      </c>
      <c r="F224" s="2"/>
      <c r="G224" s="2"/>
    </row>
    <row r="225" spans="1:7" x14ac:dyDescent="0.2">
      <c r="A225" s="10">
        <v>8339</v>
      </c>
      <c r="B225" s="10" t="s">
        <v>173</v>
      </c>
      <c r="C225" s="16"/>
      <c r="D225" s="16">
        <v>4347</v>
      </c>
      <c r="E225" s="13" t="s">
        <v>314</v>
      </c>
      <c r="F225" s="2"/>
      <c r="G225" s="2"/>
    </row>
    <row r="226" spans="1:7" ht="136" x14ac:dyDescent="0.2">
      <c r="A226" s="12">
        <v>8340</v>
      </c>
      <c r="B226" s="14" t="s">
        <v>174</v>
      </c>
      <c r="C226" s="19"/>
      <c r="D226" s="19">
        <v>1522.8</v>
      </c>
      <c r="E226" s="15" t="s">
        <v>314</v>
      </c>
      <c r="F226" s="2"/>
      <c r="G226" s="2"/>
    </row>
    <row r="227" spans="1:7" x14ac:dyDescent="0.2">
      <c r="A227" s="10">
        <v>8349</v>
      </c>
      <c r="B227" s="10" t="s">
        <v>175</v>
      </c>
      <c r="C227" s="16"/>
      <c r="D227" s="16">
        <v>340.2</v>
      </c>
      <c r="E227" s="13" t="s">
        <v>313</v>
      </c>
      <c r="F227" s="2"/>
      <c r="G227" s="2"/>
    </row>
    <row r="228" spans="1:7" x14ac:dyDescent="0.2">
      <c r="A228" s="10">
        <v>8350</v>
      </c>
      <c r="B228" s="10" t="s">
        <v>176</v>
      </c>
      <c r="C228" s="16"/>
      <c r="D228" s="16">
        <v>1981.8</v>
      </c>
      <c r="E228" s="13"/>
      <c r="F228" s="2"/>
      <c r="G228" s="2"/>
    </row>
    <row r="229" spans="1:7" x14ac:dyDescent="0.2">
      <c r="A229" s="10">
        <v>8351</v>
      </c>
      <c r="B229" s="10" t="s">
        <v>177</v>
      </c>
      <c r="C229" s="16"/>
      <c r="D229" s="16">
        <v>826.2</v>
      </c>
      <c r="E229" s="13" t="s">
        <v>316</v>
      </c>
      <c r="F229" s="2"/>
      <c r="G229" s="2"/>
    </row>
    <row r="230" spans="1:7" x14ac:dyDescent="0.2">
      <c r="A230" s="10">
        <v>8352</v>
      </c>
      <c r="B230" s="10" t="s">
        <v>178</v>
      </c>
      <c r="C230" s="16"/>
      <c r="D230" s="16">
        <v>1134</v>
      </c>
      <c r="E230" s="13" t="s">
        <v>316</v>
      </c>
      <c r="F230" s="2"/>
      <c r="G230" s="2"/>
    </row>
    <row r="231" spans="1:7" x14ac:dyDescent="0.2">
      <c r="A231" s="10">
        <v>8353</v>
      </c>
      <c r="B231" s="10" t="s">
        <v>179</v>
      </c>
      <c r="C231" s="16"/>
      <c r="D231" s="16">
        <v>1468.8</v>
      </c>
      <c r="E231" s="13" t="s">
        <v>316</v>
      </c>
      <c r="F231" s="2"/>
      <c r="G231" s="2"/>
    </row>
    <row r="232" spans="1:7" x14ac:dyDescent="0.2">
      <c r="A232" s="10">
        <v>8354</v>
      </c>
      <c r="B232" s="10" t="s">
        <v>180</v>
      </c>
      <c r="C232" s="16"/>
      <c r="D232" s="16">
        <v>1765.8</v>
      </c>
      <c r="E232" s="13" t="s">
        <v>316</v>
      </c>
      <c r="F232" s="2"/>
      <c r="G232" s="2"/>
    </row>
    <row r="233" spans="1:7" x14ac:dyDescent="0.2">
      <c r="A233" s="10">
        <v>8355</v>
      </c>
      <c r="B233" s="10" t="s">
        <v>181</v>
      </c>
      <c r="C233" s="16"/>
      <c r="D233" s="16">
        <v>3088.8</v>
      </c>
      <c r="E233" s="13" t="s">
        <v>315</v>
      </c>
      <c r="F233" s="2"/>
      <c r="G233" s="2"/>
    </row>
    <row r="234" spans="1:7" x14ac:dyDescent="0.2">
      <c r="A234" s="10">
        <v>8367</v>
      </c>
      <c r="B234" s="10" t="s">
        <v>182</v>
      </c>
      <c r="C234" s="16"/>
      <c r="D234" s="16">
        <v>1047.5999999999999</v>
      </c>
      <c r="E234" s="13" t="s">
        <v>316</v>
      </c>
      <c r="F234" s="2"/>
      <c r="G234" s="2"/>
    </row>
    <row r="235" spans="1:7" x14ac:dyDescent="0.2">
      <c r="A235" s="10">
        <v>8368</v>
      </c>
      <c r="B235" s="10" t="s">
        <v>183</v>
      </c>
      <c r="C235" s="16"/>
      <c r="D235" s="16">
        <v>1441.8</v>
      </c>
      <c r="E235" s="13" t="s">
        <v>316</v>
      </c>
      <c r="F235" s="2"/>
      <c r="G235" s="2"/>
    </row>
    <row r="236" spans="1:7" x14ac:dyDescent="0.2">
      <c r="A236" s="10">
        <v>8369</v>
      </c>
      <c r="B236" s="10" t="s">
        <v>184</v>
      </c>
      <c r="C236" s="16"/>
      <c r="D236" s="16">
        <v>1836</v>
      </c>
      <c r="E236" s="13" t="s">
        <v>316</v>
      </c>
      <c r="F236" s="2"/>
      <c r="G236" s="2"/>
    </row>
    <row r="237" spans="1:7" x14ac:dyDescent="0.2">
      <c r="A237" s="10">
        <v>8370</v>
      </c>
      <c r="B237" s="10" t="s">
        <v>185</v>
      </c>
      <c r="C237" s="16"/>
      <c r="D237" s="16">
        <v>1161</v>
      </c>
      <c r="E237" s="13" t="s">
        <v>316</v>
      </c>
      <c r="F237" s="2"/>
      <c r="G237" s="2"/>
    </row>
    <row r="238" spans="1:7" x14ac:dyDescent="0.2">
      <c r="A238" s="10">
        <v>8371</v>
      </c>
      <c r="B238" s="10" t="s">
        <v>186</v>
      </c>
      <c r="C238" s="16"/>
      <c r="D238" s="16">
        <v>3488.4</v>
      </c>
      <c r="E238" s="13" t="s">
        <v>316</v>
      </c>
      <c r="F238" s="2"/>
      <c r="G238" s="2"/>
    </row>
    <row r="239" spans="1:7" x14ac:dyDescent="0.2">
      <c r="A239" s="10">
        <v>8372</v>
      </c>
      <c r="B239" s="10" t="s">
        <v>187</v>
      </c>
      <c r="C239" s="16"/>
      <c r="D239" s="16">
        <v>4644</v>
      </c>
      <c r="E239" s="13" t="s">
        <v>316</v>
      </c>
      <c r="F239" s="2"/>
      <c r="G239" s="2"/>
    </row>
    <row r="240" spans="1:7" x14ac:dyDescent="0.2">
      <c r="A240" s="10">
        <v>8373</v>
      </c>
      <c r="B240" s="10" t="s">
        <v>188</v>
      </c>
      <c r="C240" s="16"/>
      <c r="D240" s="16">
        <v>3094.2</v>
      </c>
      <c r="E240" s="13" t="s">
        <v>316</v>
      </c>
      <c r="F240" s="2"/>
      <c r="G240" s="2"/>
    </row>
    <row r="241" spans="1:7" x14ac:dyDescent="0.2">
      <c r="A241" s="10">
        <v>8374</v>
      </c>
      <c r="B241" s="10" t="s">
        <v>189</v>
      </c>
      <c r="C241" s="16"/>
      <c r="D241" s="16">
        <v>7700.4</v>
      </c>
      <c r="E241" s="13" t="s">
        <v>316</v>
      </c>
      <c r="F241" s="2"/>
      <c r="G241" s="2"/>
    </row>
    <row r="242" spans="1:7" x14ac:dyDescent="0.2">
      <c r="A242" s="10">
        <v>8375</v>
      </c>
      <c r="B242" s="10" t="s">
        <v>190</v>
      </c>
      <c r="C242" s="16"/>
      <c r="D242" s="16">
        <v>1204.2</v>
      </c>
      <c r="E242" s="13" t="s">
        <v>316</v>
      </c>
      <c r="F242" s="2"/>
      <c r="G242" s="2"/>
    </row>
    <row r="243" spans="1:7" x14ac:dyDescent="0.2">
      <c r="A243" s="10">
        <v>8376</v>
      </c>
      <c r="B243" s="10" t="s">
        <v>191</v>
      </c>
      <c r="C243" s="16"/>
      <c r="D243" s="16">
        <v>3013.2</v>
      </c>
      <c r="E243" s="13" t="s">
        <v>314</v>
      </c>
      <c r="F243" s="2"/>
      <c r="G243" s="2"/>
    </row>
    <row r="244" spans="1:7" x14ac:dyDescent="0.2">
      <c r="A244" s="10">
        <v>8379</v>
      </c>
      <c r="B244" s="10" t="s">
        <v>192</v>
      </c>
      <c r="C244" s="16"/>
      <c r="D244" s="16">
        <v>0</v>
      </c>
      <c r="E244" s="13"/>
      <c r="F244" s="2"/>
      <c r="G244" s="2"/>
    </row>
    <row r="245" spans="1:7" x14ac:dyDescent="0.2">
      <c r="A245" s="10">
        <v>8391</v>
      </c>
      <c r="B245" s="10" t="s">
        <v>193</v>
      </c>
      <c r="C245" s="16"/>
      <c r="D245" s="16">
        <v>2602.8000000000002</v>
      </c>
      <c r="E245" s="13" t="s">
        <v>314</v>
      </c>
      <c r="F245" s="2"/>
      <c r="G245" s="2"/>
    </row>
    <row r="246" spans="1:7" x14ac:dyDescent="0.2">
      <c r="A246" s="10">
        <v>8392</v>
      </c>
      <c r="B246" s="10" t="s">
        <v>194</v>
      </c>
      <c r="C246" s="16"/>
      <c r="D246" s="16">
        <v>1015.2</v>
      </c>
      <c r="E246" s="13" t="s">
        <v>314</v>
      </c>
      <c r="F246" s="2"/>
      <c r="G246" s="2"/>
    </row>
    <row r="247" spans="1:7" x14ac:dyDescent="0.2">
      <c r="A247" s="10">
        <v>8396</v>
      </c>
      <c r="B247" s="10" t="s">
        <v>195</v>
      </c>
      <c r="C247" s="16"/>
      <c r="D247" s="16">
        <v>2602.8000000000002</v>
      </c>
      <c r="E247" s="13"/>
      <c r="F247" s="2"/>
      <c r="G247" s="2"/>
    </row>
    <row r="248" spans="1:7" x14ac:dyDescent="0.2">
      <c r="A248" s="10">
        <v>8398</v>
      </c>
      <c r="B248" s="10" t="s">
        <v>196</v>
      </c>
      <c r="C248" s="16"/>
      <c r="D248" s="16">
        <v>2505.6</v>
      </c>
      <c r="E248" s="13"/>
      <c r="F248" s="2"/>
      <c r="G248" s="2"/>
    </row>
    <row r="249" spans="1:7" x14ac:dyDescent="0.2">
      <c r="A249" s="10">
        <v>8400</v>
      </c>
      <c r="B249" s="10" t="s">
        <v>197</v>
      </c>
      <c r="C249" s="16"/>
      <c r="D249" s="20">
        <v>3628.8</v>
      </c>
      <c r="E249" s="13"/>
      <c r="F249" s="2"/>
      <c r="G249" s="2"/>
    </row>
    <row r="250" spans="1:7" x14ac:dyDescent="0.2">
      <c r="A250" s="10">
        <v>8401</v>
      </c>
      <c r="B250" s="10" t="s">
        <v>198</v>
      </c>
      <c r="C250" s="16"/>
      <c r="D250" s="16">
        <v>7020</v>
      </c>
      <c r="E250" s="13"/>
      <c r="F250" s="2"/>
      <c r="G250" s="2"/>
    </row>
    <row r="251" spans="1:7" x14ac:dyDescent="0.2">
      <c r="A251" s="10">
        <v>8403</v>
      </c>
      <c r="B251" s="10" t="s">
        <v>199</v>
      </c>
      <c r="C251" s="16"/>
      <c r="D251" s="16">
        <v>7020</v>
      </c>
      <c r="E251" s="13"/>
      <c r="F251" s="2"/>
      <c r="G251" s="2"/>
    </row>
    <row r="252" spans="1:7" x14ac:dyDescent="0.2">
      <c r="A252" s="10">
        <v>8405</v>
      </c>
      <c r="B252" s="10" t="s">
        <v>200</v>
      </c>
      <c r="C252" s="16"/>
      <c r="D252" s="16">
        <v>8494.2000000000007</v>
      </c>
      <c r="E252" s="13"/>
      <c r="F252" s="2"/>
      <c r="G252" s="2"/>
    </row>
    <row r="253" spans="1:7" x14ac:dyDescent="0.2">
      <c r="A253" s="10">
        <v>8409</v>
      </c>
      <c r="B253" s="10" t="s">
        <v>201</v>
      </c>
      <c r="C253" s="16"/>
      <c r="D253" s="16">
        <v>9147.6</v>
      </c>
      <c r="E253" s="13"/>
      <c r="F253" s="2"/>
      <c r="G253" s="2"/>
    </row>
    <row r="254" spans="1:7" x14ac:dyDescent="0.2">
      <c r="A254" s="10">
        <v>8410</v>
      </c>
      <c r="B254" s="10" t="s">
        <v>202</v>
      </c>
      <c r="C254" s="16"/>
      <c r="D254" s="16">
        <v>2640.6</v>
      </c>
      <c r="E254" s="13"/>
      <c r="F254" s="2"/>
      <c r="G254" s="2"/>
    </row>
    <row r="255" spans="1:7" x14ac:dyDescent="0.2">
      <c r="A255" s="10">
        <v>8411</v>
      </c>
      <c r="B255" s="10" t="s">
        <v>203</v>
      </c>
      <c r="C255" s="16"/>
      <c r="D255" s="16">
        <v>9147.6</v>
      </c>
      <c r="E255" s="13"/>
      <c r="F255" s="2"/>
      <c r="G255" s="2"/>
    </row>
    <row r="256" spans="1:7" x14ac:dyDescent="0.2">
      <c r="A256" s="10">
        <v>8413</v>
      </c>
      <c r="B256" s="10" t="s">
        <v>204</v>
      </c>
      <c r="C256" s="16"/>
      <c r="D256" s="16">
        <v>1231.2</v>
      </c>
      <c r="E256" s="13"/>
      <c r="F256" s="2"/>
      <c r="G256" s="2"/>
    </row>
    <row r="257" spans="1:7" x14ac:dyDescent="0.2">
      <c r="A257" s="10">
        <v>8415</v>
      </c>
      <c r="B257" s="10" t="s">
        <v>205</v>
      </c>
      <c r="C257" s="16"/>
      <c r="D257" s="16">
        <v>5011.2</v>
      </c>
      <c r="E257" s="13" t="s">
        <v>313</v>
      </c>
      <c r="F257" s="2"/>
      <c r="G257" s="2"/>
    </row>
    <row r="258" spans="1:7" x14ac:dyDescent="0.2">
      <c r="A258" s="10">
        <v>8418</v>
      </c>
      <c r="B258" s="10" t="s">
        <v>206</v>
      </c>
      <c r="C258" s="16"/>
      <c r="D258" s="16">
        <v>5011.2</v>
      </c>
      <c r="E258" s="13" t="s">
        <v>313</v>
      </c>
      <c r="F258" s="2"/>
      <c r="G258" s="2"/>
    </row>
    <row r="259" spans="1:7" x14ac:dyDescent="0.2">
      <c r="A259" s="10">
        <v>8419</v>
      </c>
      <c r="B259" s="10" t="s">
        <v>207</v>
      </c>
      <c r="C259" s="16"/>
      <c r="D259" s="16">
        <v>1220.4000000000001</v>
      </c>
      <c r="E259" s="13" t="s">
        <v>313</v>
      </c>
      <c r="F259" s="2"/>
      <c r="G259" s="2"/>
    </row>
    <row r="260" spans="1:7" x14ac:dyDescent="0.2">
      <c r="A260" s="10">
        <v>8423</v>
      </c>
      <c r="B260" s="10" t="s">
        <v>208</v>
      </c>
      <c r="C260" s="16"/>
      <c r="D260" s="16">
        <v>5135.3999999999996</v>
      </c>
      <c r="E260" s="13" t="s">
        <v>313</v>
      </c>
      <c r="F260" s="2"/>
      <c r="G260" s="2"/>
    </row>
    <row r="261" spans="1:7" x14ac:dyDescent="0.2">
      <c r="A261" s="10">
        <v>8443</v>
      </c>
      <c r="B261" s="10" t="s">
        <v>209</v>
      </c>
      <c r="C261" s="16"/>
      <c r="D261" s="16">
        <v>9147.6</v>
      </c>
      <c r="E261" s="13"/>
      <c r="F261" s="2"/>
      <c r="G261" s="2"/>
    </row>
    <row r="262" spans="1:7" x14ac:dyDescent="0.2">
      <c r="A262" s="10">
        <v>8445</v>
      </c>
      <c r="B262" s="10" t="s">
        <v>210</v>
      </c>
      <c r="C262" s="16"/>
      <c r="D262" s="16">
        <v>9147.6</v>
      </c>
      <c r="E262" s="13" t="s">
        <v>313</v>
      </c>
      <c r="F262" s="2"/>
      <c r="G262" s="2"/>
    </row>
    <row r="263" spans="1:7" x14ac:dyDescent="0.2">
      <c r="A263" s="10">
        <v>8447</v>
      </c>
      <c r="B263" s="10" t="s">
        <v>211</v>
      </c>
      <c r="C263" s="16"/>
      <c r="D263" s="16">
        <v>2640.6</v>
      </c>
      <c r="E263" s="13" t="s">
        <v>313</v>
      </c>
      <c r="F263" s="2"/>
      <c r="G263" s="2"/>
    </row>
    <row r="264" spans="1:7" x14ac:dyDescent="0.2">
      <c r="A264" s="10">
        <v>8514</v>
      </c>
      <c r="B264" s="10" t="s">
        <v>212</v>
      </c>
      <c r="C264" s="16"/>
      <c r="D264" s="16">
        <v>1058.4000000000001</v>
      </c>
      <c r="E264" s="13" t="s">
        <v>313</v>
      </c>
      <c r="F264" s="2"/>
      <c r="G264" s="2"/>
    </row>
    <row r="265" spans="1:7" x14ac:dyDescent="0.2">
      <c r="A265" s="10">
        <v>8515</v>
      </c>
      <c r="B265" s="10" t="s">
        <v>213</v>
      </c>
      <c r="C265" s="16"/>
      <c r="D265" s="16">
        <v>588.6</v>
      </c>
      <c r="E265" s="13"/>
      <c r="F265" s="2"/>
      <c r="G265" s="2"/>
    </row>
    <row r="266" spans="1:7" x14ac:dyDescent="0.2">
      <c r="A266" s="10">
        <v>8516</v>
      </c>
      <c r="B266" s="10" t="s">
        <v>214</v>
      </c>
      <c r="C266" s="16"/>
      <c r="D266" s="16">
        <v>610.20000000000005</v>
      </c>
      <c r="E266" s="13"/>
      <c r="F266" s="2"/>
      <c r="G266" s="2"/>
    </row>
    <row r="267" spans="1:7" x14ac:dyDescent="0.2">
      <c r="A267" s="10">
        <v>8517</v>
      </c>
      <c r="B267" s="10" t="s">
        <v>215</v>
      </c>
      <c r="C267" s="16"/>
      <c r="D267" s="16">
        <v>2505.6</v>
      </c>
      <c r="E267" s="13" t="s">
        <v>313</v>
      </c>
      <c r="F267" s="2"/>
      <c r="G267" s="2"/>
    </row>
    <row r="268" spans="1:7" x14ac:dyDescent="0.2">
      <c r="A268" s="10">
        <v>8518</v>
      </c>
      <c r="B268" s="10" t="s">
        <v>216</v>
      </c>
      <c r="C268" s="16"/>
      <c r="D268" s="16">
        <v>610.20000000000005</v>
      </c>
      <c r="E268" s="13"/>
      <c r="F268" s="2"/>
      <c r="G268" s="2"/>
    </row>
    <row r="269" spans="1:7" x14ac:dyDescent="0.2">
      <c r="A269" s="10">
        <v>8533</v>
      </c>
      <c r="B269" s="10" t="s">
        <v>217</v>
      </c>
      <c r="C269" s="16"/>
      <c r="D269" s="16">
        <v>11458.8</v>
      </c>
      <c r="E269" s="13" t="s">
        <v>313</v>
      </c>
      <c r="F269" s="2"/>
      <c r="G269" s="2"/>
    </row>
    <row r="270" spans="1:7" x14ac:dyDescent="0.2">
      <c r="A270" s="10">
        <v>8534</v>
      </c>
      <c r="B270" s="10" t="s">
        <v>218</v>
      </c>
      <c r="C270" s="16"/>
      <c r="D270" s="16">
        <v>9876.6</v>
      </c>
      <c r="E270" s="13" t="s">
        <v>313</v>
      </c>
      <c r="F270" s="2"/>
      <c r="G270" s="2"/>
    </row>
    <row r="271" spans="1:7" x14ac:dyDescent="0.2">
      <c r="A271" s="10">
        <v>8537</v>
      </c>
      <c r="B271" s="10" t="s">
        <v>219</v>
      </c>
      <c r="C271" s="16"/>
      <c r="D271" s="16">
        <v>7187.4</v>
      </c>
      <c r="E271" s="13" t="s">
        <v>313</v>
      </c>
      <c r="F271" s="2"/>
      <c r="G271" s="2"/>
    </row>
    <row r="272" spans="1:7" x14ac:dyDescent="0.2">
      <c r="A272" s="10">
        <v>8538</v>
      </c>
      <c r="B272" s="10" t="s">
        <v>220</v>
      </c>
      <c r="C272" s="16"/>
      <c r="D272" s="16">
        <v>7187.4</v>
      </c>
      <c r="E272" s="13" t="s">
        <v>313</v>
      </c>
      <c r="F272" s="2"/>
      <c r="G272" s="2"/>
    </row>
    <row r="273" spans="1:7" x14ac:dyDescent="0.2">
      <c r="A273" s="10">
        <v>8543</v>
      </c>
      <c r="B273" s="10" t="s">
        <v>221</v>
      </c>
      <c r="C273" s="16"/>
      <c r="D273" s="16">
        <v>3628.8</v>
      </c>
      <c r="E273" s="13" t="s">
        <v>313</v>
      </c>
      <c r="F273" s="2"/>
      <c r="G273" s="2"/>
    </row>
    <row r="274" spans="1:7" x14ac:dyDescent="0.2">
      <c r="A274" s="10">
        <v>8544</v>
      </c>
      <c r="B274" s="10" t="s">
        <v>222</v>
      </c>
      <c r="C274" s="16"/>
      <c r="D274" s="16">
        <v>3628.8</v>
      </c>
      <c r="E274" s="13" t="s">
        <v>313</v>
      </c>
      <c r="F274" s="2"/>
      <c r="G274" s="2"/>
    </row>
    <row r="275" spans="1:7" x14ac:dyDescent="0.2">
      <c r="A275" s="10">
        <v>8547</v>
      </c>
      <c r="B275" s="10" t="s">
        <v>223</v>
      </c>
      <c r="C275" s="16"/>
      <c r="D275" s="16">
        <v>7187.4</v>
      </c>
      <c r="E275" s="13" t="s">
        <v>313</v>
      </c>
      <c r="F275" s="2"/>
      <c r="G275" s="2"/>
    </row>
    <row r="276" spans="1:7" x14ac:dyDescent="0.2">
      <c r="A276" s="10">
        <v>8548</v>
      </c>
      <c r="B276" s="10" t="s">
        <v>224</v>
      </c>
      <c r="C276" s="16"/>
      <c r="D276" s="16">
        <v>7187.4</v>
      </c>
      <c r="E276" s="13" t="s">
        <v>313</v>
      </c>
      <c r="F276" s="2"/>
      <c r="G276" s="2"/>
    </row>
    <row r="277" spans="1:7" x14ac:dyDescent="0.2">
      <c r="A277" s="10">
        <v>8551</v>
      </c>
      <c r="B277" s="10" t="s">
        <v>225</v>
      </c>
      <c r="C277" s="16"/>
      <c r="D277" s="16">
        <v>1404</v>
      </c>
      <c r="E277" s="13" t="s">
        <v>317</v>
      </c>
      <c r="F277" s="2"/>
      <c r="G277" s="2"/>
    </row>
    <row r="278" spans="1:7" x14ac:dyDescent="0.2">
      <c r="A278" s="10">
        <v>8552</v>
      </c>
      <c r="B278" s="10" t="s">
        <v>226</v>
      </c>
      <c r="C278" s="16"/>
      <c r="D278" s="16">
        <v>7527.6</v>
      </c>
      <c r="E278" s="13" t="s">
        <v>316</v>
      </c>
      <c r="F278" s="2"/>
      <c r="G278" s="2"/>
    </row>
    <row r="279" spans="1:7" x14ac:dyDescent="0.2">
      <c r="A279" s="10">
        <v>8553</v>
      </c>
      <c r="B279" s="10" t="s">
        <v>227</v>
      </c>
      <c r="C279" s="16"/>
      <c r="D279" s="16">
        <v>1404</v>
      </c>
      <c r="E279" s="13" t="s">
        <v>317</v>
      </c>
      <c r="F279" s="2"/>
      <c r="G279" s="2"/>
    </row>
    <row r="280" spans="1:7" x14ac:dyDescent="0.2">
      <c r="A280" s="10">
        <v>8554</v>
      </c>
      <c r="B280" s="10" t="s">
        <v>228</v>
      </c>
      <c r="C280" s="16"/>
      <c r="D280" s="16">
        <v>1981.8</v>
      </c>
      <c r="E280" s="13" t="s">
        <v>316</v>
      </c>
      <c r="F280" s="2"/>
      <c r="G280" s="2"/>
    </row>
    <row r="281" spans="1:7" x14ac:dyDescent="0.2">
      <c r="A281" s="10">
        <v>8573</v>
      </c>
      <c r="B281" s="10" t="s">
        <v>229</v>
      </c>
      <c r="C281" s="16"/>
      <c r="D281" s="16">
        <v>3628.8</v>
      </c>
      <c r="E281" s="13" t="s">
        <v>313</v>
      </c>
      <c r="F281" s="2"/>
      <c r="G281" s="2"/>
    </row>
    <row r="282" spans="1:7" x14ac:dyDescent="0.2">
      <c r="A282" s="10">
        <v>8574</v>
      </c>
      <c r="B282" s="10" t="s">
        <v>230</v>
      </c>
      <c r="C282" s="16"/>
      <c r="D282" s="16">
        <v>3628.8</v>
      </c>
      <c r="E282" s="13" t="s">
        <v>313</v>
      </c>
      <c r="F282" s="2"/>
      <c r="G282" s="2"/>
    </row>
    <row r="283" spans="1:7" x14ac:dyDescent="0.2">
      <c r="A283" s="10">
        <v>8578</v>
      </c>
      <c r="B283" s="10" t="s">
        <v>231</v>
      </c>
      <c r="C283" s="16"/>
      <c r="D283" s="16">
        <v>1706.4</v>
      </c>
      <c r="E283" s="13" t="s">
        <v>313</v>
      </c>
      <c r="F283" s="2"/>
      <c r="G283" s="2"/>
    </row>
    <row r="284" spans="1:7" x14ac:dyDescent="0.2">
      <c r="A284" s="10">
        <v>8579</v>
      </c>
      <c r="B284" s="10" t="s">
        <v>232</v>
      </c>
      <c r="C284" s="16"/>
      <c r="D284" s="16">
        <v>6544.8</v>
      </c>
      <c r="E284" s="13" t="s">
        <v>313</v>
      </c>
      <c r="F284" s="2"/>
      <c r="G284" s="2"/>
    </row>
    <row r="285" spans="1:7" x14ac:dyDescent="0.2">
      <c r="A285" s="10">
        <v>8584</v>
      </c>
      <c r="B285" s="10" t="s">
        <v>233</v>
      </c>
      <c r="C285" s="16"/>
      <c r="D285" s="16">
        <v>13878</v>
      </c>
      <c r="E285" s="13" t="s">
        <v>313</v>
      </c>
      <c r="F285" s="2"/>
      <c r="G285" s="2"/>
    </row>
    <row r="286" spans="1:7" x14ac:dyDescent="0.2">
      <c r="A286" s="10">
        <v>8585</v>
      </c>
      <c r="B286" s="10" t="s">
        <v>234</v>
      </c>
      <c r="C286" s="16"/>
      <c r="D286" s="16">
        <v>13878</v>
      </c>
      <c r="E286" s="13" t="s">
        <v>313</v>
      </c>
      <c r="F286" s="2"/>
      <c r="G286" s="2"/>
    </row>
    <row r="287" spans="1:7" x14ac:dyDescent="0.2">
      <c r="A287" s="10">
        <v>8586</v>
      </c>
      <c r="B287" s="10" t="s">
        <v>235</v>
      </c>
      <c r="C287" s="16"/>
      <c r="D287" s="16">
        <v>5108.3999999999996</v>
      </c>
      <c r="E287" s="13" t="s">
        <v>313</v>
      </c>
      <c r="F287" s="2"/>
      <c r="G287" s="2"/>
    </row>
    <row r="288" spans="1:7" x14ac:dyDescent="0.2">
      <c r="A288" s="10">
        <v>8587</v>
      </c>
      <c r="B288" s="10" t="s">
        <v>195</v>
      </c>
      <c r="C288" s="16"/>
      <c r="D288" s="16">
        <v>3628.8</v>
      </c>
      <c r="E288" s="13" t="s">
        <v>313</v>
      </c>
      <c r="F288" s="2"/>
      <c r="G288" s="2"/>
    </row>
    <row r="289" spans="1:7" x14ac:dyDescent="0.2">
      <c r="A289" s="10">
        <v>8590</v>
      </c>
      <c r="B289" s="10" t="s">
        <v>236</v>
      </c>
      <c r="C289" s="16"/>
      <c r="D289" s="16">
        <v>675</v>
      </c>
      <c r="E289" s="13" t="s">
        <v>313</v>
      </c>
      <c r="F289" s="2"/>
      <c r="G289" s="2"/>
    </row>
    <row r="290" spans="1:7" x14ac:dyDescent="0.2">
      <c r="A290" s="10">
        <v>8594</v>
      </c>
      <c r="B290" s="10" t="s">
        <v>237</v>
      </c>
      <c r="C290" s="16"/>
      <c r="D290" s="16">
        <v>707.4</v>
      </c>
      <c r="E290" s="13" t="s">
        <v>313</v>
      </c>
      <c r="F290" s="2"/>
      <c r="G290" s="2"/>
    </row>
    <row r="291" spans="1:7" x14ac:dyDescent="0.2">
      <c r="A291" s="10">
        <v>8595</v>
      </c>
      <c r="B291" s="10" t="s">
        <v>238</v>
      </c>
      <c r="C291" s="16"/>
      <c r="D291" s="16">
        <v>707.4</v>
      </c>
      <c r="E291" s="13" t="s">
        <v>313</v>
      </c>
      <c r="F291" s="2"/>
      <c r="G291" s="2"/>
    </row>
    <row r="292" spans="1:7" x14ac:dyDescent="0.2">
      <c r="A292" s="10">
        <v>8597</v>
      </c>
      <c r="B292" s="10" t="s">
        <v>239</v>
      </c>
      <c r="C292" s="16"/>
      <c r="D292" s="16">
        <v>707.4</v>
      </c>
      <c r="E292" s="13" t="s">
        <v>313</v>
      </c>
      <c r="F292" s="2"/>
      <c r="G292" s="2"/>
    </row>
    <row r="293" spans="1:7" x14ac:dyDescent="0.2">
      <c r="A293" s="10">
        <v>8598</v>
      </c>
      <c r="B293" s="10" t="s">
        <v>240</v>
      </c>
      <c r="C293" s="16"/>
      <c r="D293" s="16">
        <v>707.4</v>
      </c>
      <c r="E293" s="13" t="s">
        <v>313</v>
      </c>
      <c r="F293" s="2"/>
      <c r="G293" s="2"/>
    </row>
    <row r="294" spans="1:7" x14ac:dyDescent="0.2">
      <c r="A294" s="10">
        <v>8599</v>
      </c>
      <c r="B294" s="10" t="s">
        <v>241</v>
      </c>
      <c r="C294" s="16"/>
      <c r="D294" s="16">
        <v>1080</v>
      </c>
      <c r="E294" s="13" t="s">
        <v>313</v>
      </c>
      <c r="F294" s="2"/>
      <c r="G294" s="2"/>
    </row>
    <row r="295" spans="1:7" x14ac:dyDescent="0.2">
      <c r="A295" s="10">
        <v>8617</v>
      </c>
      <c r="B295" s="10" t="s">
        <v>242</v>
      </c>
      <c r="C295" s="16"/>
      <c r="D295" s="16">
        <v>3078</v>
      </c>
      <c r="E295" s="13" t="s">
        <v>313</v>
      </c>
      <c r="F295" s="2"/>
      <c r="G295" s="2"/>
    </row>
    <row r="296" spans="1:7" x14ac:dyDescent="0.2">
      <c r="A296" s="10">
        <v>8618</v>
      </c>
      <c r="B296" s="10" t="s">
        <v>243</v>
      </c>
      <c r="C296" s="16"/>
      <c r="D296" s="16">
        <v>3078</v>
      </c>
      <c r="E296" s="13" t="s">
        <v>313</v>
      </c>
      <c r="F296" s="2"/>
      <c r="G296" s="2"/>
    </row>
    <row r="297" spans="1:7" x14ac:dyDescent="0.2">
      <c r="A297" s="10">
        <v>8652</v>
      </c>
      <c r="B297" s="10" t="s">
        <v>244</v>
      </c>
      <c r="C297" s="16"/>
      <c r="D297" s="16">
        <v>7700.4</v>
      </c>
      <c r="E297" s="13" t="s">
        <v>313</v>
      </c>
      <c r="F297" s="2"/>
      <c r="G297" s="2"/>
    </row>
    <row r="298" spans="1:7" x14ac:dyDescent="0.2">
      <c r="A298" s="10">
        <v>8653</v>
      </c>
      <c r="B298" s="10" t="s">
        <v>245</v>
      </c>
      <c r="C298" s="16"/>
      <c r="D298" s="16">
        <v>6166.8</v>
      </c>
      <c r="E298" s="13" t="s">
        <v>313</v>
      </c>
      <c r="F298" s="2"/>
      <c r="G298" s="2"/>
    </row>
    <row r="299" spans="1:7" x14ac:dyDescent="0.2">
      <c r="A299" s="10">
        <v>8654</v>
      </c>
      <c r="B299" s="10" t="s">
        <v>246</v>
      </c>
      <c r="C299" s="16"/>
      <c r="D299" s="16">
        <v>14974.2</v>
      </c>
      <c r="E299" s="13" t="s">
        <v>313</v>
      </c>
      <c r="F299" s="2"/>
      <c r="G299" s="2"/>
    </row>
    <row r="300" spans="1:7" x14ac:dyDescent="0.2">
      <c r="A300" s="10">
        <v>8655</v>
      </c>
      <c r="B300" s="10" t="s">
        <v>247</v>
      </c>
      <c r="C300" s="16"/>
      <c r="D300" s="16">
        <v>9876.6</v>
      </c>
      <c r="E300" s="13" t="s">
        <v>313</v>
      </c>
      <c r="F300" s="2"/>
      <c r="G300" s="2"/>
    </row>
    <row r="301" spans="1:7" x14ac:dyDescent="0.2">
      <c r="A301" s="10">
        <v>8657</v>
      </c>
      <c r="B301" s="10" t="s">
        <v>248</v>
      </c>
      <c r="C301" s="16"/>
      <c r="D301" s="16">
        <v>810</v>
      </c>
      <c r="E301" s="13" t="s">
        <v>313</v>
      </c>
      <c r="F301" s="2"/>
      <c r="G301" s="2"/>
    </row>
    <row r="302" spans="1:7" x14ac:dyDescent="0.2">
      <c r="A302" s="10">
        <v>8658</v>
      </c>
      <c r="B302" s="10" t="s">
        <v>249</v>
      </c>
      <c r="C302" s="16"/>
      <c r="D302" s="16">
        <v>7700.4</v>
      </c>
      <c r="E302" s="13" t="s">
        <v>313</v>
      </c>
      <c r="F302" s="2"/>
      <c r="G302" s="2"/>
    </row>
    <row r="303" spans="1:7" x14ac:dyDescent="0.2">
      <c r="A303" s="10">
        <v>8659</v>
      </c>
      <c r="B303" s="10" t="s">
        <v>250</v>
      </c>
      <c r="C303" s="16"/>
      <c r="D303" s="16">
        <v>6166.8</v>
      </c>
      <c r="E303" s="13" t="s">
        <v>313</v>
      </c>
      <c r="F303" s="2"/>
      <c r="G303" s="2"/>
    </row>
    <row r="304" spans="1:7" x14ac:dyDescent="0.2">
      <c r="A304" s="10">
        <v>8660</v>
      </c>
      <c r="B304" s="10" t="s">
        <v>251</v>
      </c>
      <c r="C304" s="16"/>
      <c r="D304" s="16">
        <v>1782</v>
      </c>
      <c r="E304" s="13" t="s">
        <v>313</v>
      </c>
      <c r="F304" s="2"/>
      <c r="G304" s="2"/>
    </row>
    <row r="305" spans="1:7" x14ac:dyDescent="0.2">
      <c r="A305" s="10">
        <v>8669</v>
      </c>
      <c r="B305" s="10" t="s">
        <v>252</v>
      </c>
      <c r="C305" s="16"/>
      <c r="D305" s="16">
        <v>7187.4</v>
      </c>
      <c r="E305" s="13" t="s">
        <v>313</v>
      </c>
      <c r="F305" s="2"/>
      <c r="G305" s="2"/>
    </row>
    <row r="306" spans="1:7" x14ac:dyDescent="0.2">
      <c r="A306" s="10">
        <v>8670</v>
      </c>
      <c r="B306" s="10" t="s">
        <v>253</v>
      </c>
      <c r="C306" s="16"/>
      <c r="D306" s="16">
        <v>826.2</v>
      </c>
      <c r="E306" s="13" t="s">
        <v>313</v>
      </c>
      <c r="F306" s="2"/>
      <c r="G306" s="2"/>
    </row>
    <row r="307" spans="1:7" x14ac:dyDescent="0.2">
      <c r="A307" s="10">
        <v>8723</v>
      </c>
      <c r="B307" s="10" t="s">
        <v>254</v>
      </c>
      <c r="C307" s="16"/>
      <c r="D307" s="16">
        <v>1323</v>
      </c>
      <c r="E307" s="13" t="s">
        <v>319</v>
      </c>
      <c r="F307" s="2"/>
      <c r="G307" s="2"/>
    </row>
    <row r="308" spans="1:7" x14ac:dyDescent="0.2">
      <c r="A308" s="10">
        <v>8725</v>
      </c>
      <c r="B308" s="10" t="s">
        <v>255</v>
      </c>
      <c r="C308" s="16"/>
      <c r="D308" s="16">
        <v>1765.8</v>
      </c>
      <c r="E308" s="13" t="s">
        <v>319</v>
      </c>
      <c r="F308" s="2"/>
      <c r="G308" s="2"/>
    </row>
    <row r="309" spans="1:7" x14ac:dyDescent="0.2">
      <c r="A309" s="10">
        <v>8727</v>
      </c>
      <c r="B309" s="10" t="s">
        <v>256</v>
      </c>
      <c r="C309" s="16"/>
      <c r="D309" s="16">
        <v>675</v>
      </c>
      <c r="E309" s="13" t="s">
        <v>319</v>
      </c>
      <c r="F309" s="2"/>
      <c r="G309" s="2"/>
    </row>
    <row r="310" spans="1:7" x14ac:dyDescent="0.2">
      <c r="A310" s="10">
        <v>8731</v>
      </c>
      <c r="B310" s="10" t="s">
        <v>257</v>
      </c>
      <c r="C310" s="16"/>
      <c r="D310" s="16">
        <v>1247.4000000000001</v>
      </c>
      <c r="E310" s="13" t="s">
        <v>320</v>
      </c>
      <c r="F310" s="2"/>
      <c r="G310" s="2"/>
    </row>
    <row r="311" spans="1:7" x14ac:dyDescent="0.2">
      <c r="A311" s="10">
        <v>8737</v>
      </c>
      <c r="B311" s="10" t="s">
        <v>258</v>
      </c>
      <c r="C311" s="16"/>
      <c r="D311" s="16">
        <v>2856.6</v>
      </c>
      <c r="E311" s="13" t="s">
        <v>319</v>
      </c>
      <c r="F311" s="2"/>
      <c r="G311" s="2"/>
    </row>
    <row r="312" spans="1:7" x14ac:dyDescent="0.2">
      <c r="A312" s="10">
        <v>8739</v>
      </c>
      <c r="B312" s="10" t="s">
        <v>259</v>
      </c>
      <c r="C312" s="16"/>
      <c r="D312" s="16">
        <v>2565</v>
      </c>
      <c r="E312" s="13" t="s">
        <v>319</v>
      </c>
      <c r="F312" s="2"/>
      <c r="G312" s="2"/>
    </row>
    <row r="313" spans="1:7" x14ac:dyDescent="0.2">
      <c r="A313" s="10">
        <v>8741</v>
      </c>
      <c r="B313" s="10" t="s">
        <v>260</v>
      </c>
      <c r="C313" s="16"/>
      <c r="D313" s="16">
        <v>3753</v>
      </c>
      <c r="E313" s="13" t="s">
        <v>319</v>
      </c>
      <c r="F313" s="2"/>
      <c r="G313" s="2"/>
    </row>
    <row r="314" spans="1:7" x14ac:dyDescent="0.2">
      <c r="A314" s="10">
        <v>8743</v>
      </c>
      <c r="B314" s="10" t="s">
        <v>261</v>
      </c>
      <c r="C314" s="16"/>
      <c r="D314" s="16">
        <v>2975.4</v>
      </c>
      <c r="E314" s="13" t="s">
        <v>319</v>
      </c>
      <c r="F314" s="2"/>
      <c r="G314" s="2"/>
    </row>
    <row r="315" spans="1:7" x14ac:dyDescent="0.2">
      <c r="A315" s="10">
        <v>8746</v>
      </c>
      <c r="B315" s="10" t="s">
        <v>262</v>
      </c>
      <c r="C315" s="16"/>
      <c r="D315" s="16">
        <v>11178</v>
      </c>
      <c r="E315" s="13" t="s">
        <v>319</v>
      </c>
      <c r="F315" s="2"/>
      <c r="G315" s="2"/>
    </row>
    <row r="316" spans="1:7" x14ac:dyDescent="0.2">
      <c r="A316" s="10">
        <v>8747</v>
      </c>
      <c r="B316" s="10" t="s">
        <v>263</v>
      </c>
      <c r="C316" s="16"/>
      <c r="D316" s="16">
        <v>11178</v>
      </c>
      <c r="E316" s="13" t="s">
        <v>319</v>
      </c>
      <c r="F316" s="2"/>
      <c r="G316" s="2"/>
    </row>
    <row r="317" spans="1:7" x14ac:dyDescent="0.2">
      <c r="A317" s="10">
        <v>8748</v>
      </c>
      <c r="B317" s="10" t="s">
        <v>264</v>
      </c>
      <c r="C317" s="16"/>
      <c r="D317" s="16">
        <v>11761.2</v>
      </c>
      <c r="E317" s="13" t="s">
        <v>319</v>
      </c>
      <c r="F317" s="2"/>
      <c r="G317" s="2"/>
    </row>
    <row r="318" spans="1:7" x14ac:dyDescent="0.2">
      <c r="A318" s="10">
        <v>8749</v>
      </c>
      <c r="B318" s="10" t="s">
        <v>265</v>
      </c>
      <c r="C318" s="16"/>
      <c r="D318" s="16">
        <v>10821.6</v>
      </c>
      <c r="E318" s="13" t="s">
        <v>319</v>
      </c>
      <c r="F318" s="2"/>
      <c r="G318" s="2"/>
    </row>
    <row r="319" spans="1:7" x14ac:dyDescent="0.2">
      <c r="A319" s="10">
        <v>8753</v>
      </c>
      <c r="B319" s="10" t="s">
        <v>266</v>
      </c>
      <c r="C319" s="16"/>
      <c r="D319" s="16">
        <v>10557</v>
      </c>
      <c r="E319" s="13" t="s">
        <v>319</v>
      </c>
      <c r="F319" s="2"/>
      <c r="G319" s="2"/>
    </row>
    <row r="320" spans="1:7" x14ac:dyDescent="0.2">
      <c r="A320" s="10">
        <v>8756</v>
      </c>
      <c r="B320" s="10" t="s">
        <v>267</v>
      </c>
      <c r="C320" s="16"/>
      <c r="D320" s="16">
        <v>5189.3999999999996</v>
      </c>
      <c r="E320" s="13" t="s">
        <v>319</v>
      </c>
      <c r="F320" s="2"/>
      <c r="G320" s="2"/>
    </row>
    <row r="321" spans="1:7" x14ac:dyDescent="0.2">
      <c r="A321" s="10">
        <v>8759</v>
      </c>
      <c r="B321" s="10" t="s">
        <v>268</v>
      </c>
      <c r="C321" s="16"/>
      <c r="D321" s="16">
        <v>3704.4</v>
      </c>
      <c r="E321" s="13" t="s">
        <v>319</v>
      </c>
      <c r="F321" s="2"/>
      <c r="G321" s="2"/>
    </row>
    <row r="322" spans="1:7" x14ac:dyDescent="0.2">
      <c r="A322" s="10">
        <v>8766</v>
      </c>
      <c r="B322" s="10" t="s">
        <v>269</v>
      </c>
      <c r="C322" s="16"/>
      <c r="D322" s="16">
        <v>2484</v>
      </c>
      <c r="E322" s="13" t="s">
        <v>319</v>
      </c>
      <c r="F322" s="2"/>
      <c r="G322" s="2"/>
    </row>
    <row r="323" spans="1:7" x14ac:dyDescent="0.2">
      <c r="A323" s="10">
        <v>8767</v>
      </c>
      <c r="B323" s="10" t="s">
        <v>270</v>
      </c>
      <c r="C323" s="16"/>
      <c r="D323" s="21">
        <v>2484</v>
      </c>
      <c r="E323" s="13"/>
      <c r="F323" s="2"/>
      <c r="G323" s="2"/>
    </row>
    <row r="324" spans="1:7" x14ac:dyDescent="0.2">
      <c r="A324" s="10">
        <v>8768</v>
      </c>
      <c r="B324" s="10" t="s">
        <v>271</v>
      </c>
      <c r="C324" s="16"/>
      <c r="D324" s="16">
        <v>2629.8</v>
      </c>
      <c r="E324" s="13" t="s">
        <v>319</v>
      </c>
      <c r="F324" s="2"/>
      <c r="G324" s="2"/>
    </row>
    <row r="325" spans="1:7" x14ac:dyDescent="0.2">
      <c r="A325" s="13" t="s">
        <v>59</v>
      </c>
      <c r="B325" s="10" t="s">
        <v>272</v>
      </c>
      <c r="C325" s="16"/>
      <c r="D325" s="16">
        <v>2392.1999999999998</v>
      </c>
      <c r="E325" s="13"/>
      <c r="F325" s="2"/>
      <c r="G325" s="2"/>
    </row>
    <row r="326" spans="1:7" x14ac:dyDescent="0.2">
      <c r="A326" s="10" t="s">
        <v>60</v>
      </c>
      <c r="B326" s="10" t="s">
        <v>273</v>
      </c>
      <c r="C326" s="16"/>
      <c r="D326" s="16">
        <v>2635.2</v>
      </c>
      <c r="E326" s="13"/>
      <c r="F326" s="2"/>
      <c r="G326" s="2"/>
    </row>
    <row r="327" spans="1:7" x14ac:dyDescent="0.2">
      <c r="A327" s="10">
        <v>8772</v>
      </c>
      <c r="B327" s="10" t="s">
        <v>274</v>
      </c>
      <c r="C327" s="16"/>
      <c r="D327" s="16">
        <v>4978.8</v>
      </c>
      <c r="E327" s="13" t="s">
        <v>319</v>
      </c>
      <c r="F327" s="2"/>
      <c r="G327" s="2"/>
    </row>
    <row r="328" spans="1:7" x14ac:dyDescent="0.2">
      <c r="A328" s="10">
        <v>8774</v>
      </c>
      <c r="B328" s="10" t="s">
        <v>275</v>
      </c>
      <c r="C328" s="16"/>
      <c r="D328" s="16">
        <v>2392.1999999999998</v>
      </c>
      <c r="E328" s="13" t="s">
        <v>319</v>
      </c>
      <c r="F328" s="2"/>
      <c r="G328" s="2"/>
    </row>
    <row r="329" spans="1:7" x14ac:dyDescent="0.2">
      <c r="A329" s="10">
        <v>8787</v>
      </c>
      <c r="B329" s="10" t="s">
        <v>276</v>
      </c>
      <c r="C329" s="16"/>
      <c r="D329" s="16">
        <v>761.4</v>
      </c>
      <c r="E329" s="13" t="s">
        <v>319</v>
      </c>
      <c r="F329" s="2"/>
      <c r="G329" s="2"/>
    </row>
    <row r="330" spans="1:7" x14ac:dyDescent="0.2">
      <c r="A330" s="10">
        <v>8825</v>
      </c>
      <c r="B330" s="10" t="s">
        <v>277</v>
      </c>
      <c r="C330" s="16"/>
      <c r="D330" s="16">
        <v>583.20000000000005</v>
      </c>
      <c r="E330" s="13" t="s">
        <v>321</v>
      </c>
      <c r="F330" s="2"/>
      <c r="G330" s="2"/>
    </row>
    <row r="331" spans="1:7" x14ac:dyDescent="0.2">
      <c r="A331" s="10">
        <v>8846</v>
      </c>
      <c r="B331" s="10" t="s">
        <v>278</v>
      </c>
      <c r="C331" s="16"/>
      <c r="D331" s="16">
        <v>723.6</v>
      </c>
      <c r="E331" s="13" t="s">
        <v>321</v>
      </c>
      <c r="F331" s="2"/>
      <c r="G331" s="2"/>
    </row>
    <row r="332" spans="1:7" x14ac:dyDescent="0.2">
      <c r="A332" s="10">
        <v>8847</v>
      </c>
      <c r="B332" s="10" t="s">
        <v>279</v>
      </c>
      <c r="C332" s="16"/>
      <c r="D332" s="16">
        <v>0</v>
      </c>
      <c r="E332" s="13" t="s">
        <v>321</v>
      </c>
      <c r="F332" s="2"/>
      <c r="G332" s="2"/>
    </row>
    <row r="333" spans="1:7" x14ac:dyDescent="0.2">
      <c r="A333" s="10">
        <v>8848</v>
      </c>
      <c r="B333" s="10" t="s">
        <v>280</v>
      </c>
      <c r="C333" s="16"/>
      <c r="D333" s="16">
        <v>1193.4000000000001</v>
      </c>
      <c r="E333" s="13" t="s">
        <v>321</v>
      </c>
      <c r="F333" s="2"/>
      <c r="G333" s="2"/>
    </row>
    <row r="334" spans="1:7" x14ac:dyDescent="0.2">
      <c r="A334" s="10">
        <v>8849</v>
      </c>
      <c r="B334" s="10" t="s">
        <v>281</v>
      </c>
      <c r="C334" s="16"/>
      <c r="D334" s="16">
        <v>874.8</v>
      </c>
      <c r="E334" s="13" t="s">
        <v>321</v>
      </c>
      <c r="F334" s="2"/>
      <c r="G334" s="2"/>
    </row>
    <row r="335" spans="1:7" x14ac:dyDescent="0.2">
      <c r="A335" s="10">
        <v>8852</v>
      </c>
      <c r="B335" s="10" t="s">
        <v>282</v>
      </c>
      <c r="C335" s="16"/>
      <c r="D335" s="16">
        <v>5194.8</v>
      </c>
      <c r="E335" s="13" t="s">
        <v>317</v>
      </c>
      <c r="F335" s="2"/>
      <c r="G335" s="2"/>
    </row>
    <row r="336" spans="1:7" x14ac:dyDescent="0.2">
      <c r="A336" s="10">
        <v>8862</v>
      </c>
      <c r="B336" s="10" t="s">
        <v>283</v>
      </c>
      <c r="C336" s="16"/>
      <c r="D336" s="16">
        <v>6145.2</v>
      </c>
      <c r="E336" s="13" t="s">
        <v>321</v>
      </c>
      <c r="F336" s="2"/>
      <c r="G336" s="2"/>
    </row>
    <row r="337" spans="1:7" x14ac:dyDescent="0.2">
      <c r="A337" s="10">
        <v>8867</v>
      </c>
      <c r="B337" s="10" t="s">
        <v>284</v>
      </c>
      <c r="C337" s="16"/>
      <c r="D337" s="22">
        <v>14050.8</v>
      </c>
      <c r="E337" s="13" t="s">
        <v>321</v>
      </c>
      <c r="F337" s="2"/>
      <c r="G337" s="2"/>
    </row>
    <row r="338" spans="1:7" x14ac:dyDescent="0.2">
      <c r="A338" s="10">
        <v>8885</v>
      </c>
      <c r="B338" s="10" t="s">
        <v>285</v>
      </c>
      <c r="C338" s="16"/>
      <c r="D338" s="16">
        <v>43221.599999999999</v>
      </c>
      <c r="E338" s="13" t="s">
        <v>321</v>
      </c>
      <c r="F338" s="2"/>
      <c r="G338" s="2"/>
    </row>
    <row r="339" spans="1:7" x14ac:dyDescent="0.2">
      <c r="A339" s="10">
        <v>8890</v>
      </c>
      <c r="B339" s="10" t="s">
        <v>286</v>
      </c>
      <c r="C339" s="16"/>
      <c r="D339" s="16">
        <v>0</v>
      </c>
      <c r="E339" s="13"/>
      <c r="F339" s="2"/>
      <c r="G339" s="2"/>
    </row>
    <row r="340" spans="1:7" x14ac:dyDescent="0.2">
      <c r="A340" s="10">
        <v>8892</v>
      </c>
      <c r="B340" s="10" t="s">
        <v>287</v>
      </c>
      <c r="C340" s="16"/>
      <c r="D340" s="16">
        <v>0</v>
      </c>
      <c r="E340" s="13"/>
      <c r="F340" s="2"/>
      <c r="G340" s="2"/>
    </row>
    <row r="341" spans="1:7" x14ac:dyDescent="0.2">
      <c r="A341" s="10">
        <v>8893</v>
      </c>
      <c r="B341" s="10" t="s">
        <v>288</v>
      </c>
      <c r="C341" s="16"/>
      <c r="D341" s="16">
        <v>583.20000000000005</v>
      </c>
      <c r="E341" s="13" t="s">
        <v>322</v>
      </c>
      <c r="F341" s="2"/>
      <c r="G341" s="2"/>
    </row>
    <row r="342" spans="1:7" x14ac:dyDescent="0.2">
      <c r="A342" s="10">
        <v>8931</v>
      </c>
      <c r="B342" s="10" t="s">
        <v>289</v>
      </c>
      <c r="C342" s="16"/>
      <c r="D342" s="16">
        <v>491.4</v>
      </c>
      <c r="E342" s="13" t="s">
        <v>313</v>
      </c>
      <c r="F342" s="2"/>
      <c r="G342" s="2"/>
    </row>
    <row r="343" spans="1:7" x14ac:dyDescent="0.2">
      <c r="A343" s="10">
        <v>8935</v>
      </c>
      <c r="B343" s="10" t="s">
        <v>290</v>
      </c>
      <c r="C343" s="16"/>
      <c r="D343" s="16">
        <v>491.4</v>
      </c>
      <c r="E343" s="13" t="s">
        <v>313</v>
      </c>
      <c r="F343" s="2"/>
      <c r="G343" s="2"/>
    </row>
    <row r="344" spans="1:7" x14ac:dyDescent="0.2">
      <c r="A344" s="10">
        <v>8937</v>
      </c>
      <c r="B344" s="10" t="s">
        <v>291</v>
      </c>
      <c r="C344" s="16"/>
      <c r="D344" s="16">
        <v>2970</v>
      </c>
      <c r="E344" s="13"/>
      <c r="F344" s="2"/>
      <c r="G344" s="2"/>
    </row>
    <row r="345" spans="1:7" x14ac:dyDescent="0.2">
      <c r="A345" s="10">
        <v>8941</v>
      </c>
      <c r="B345" s="10" t="s">
        <v>292</v>
      </c>
      <c r="C345" s="16"/>
      <c r="D345" s="16">
        <v>4930.2</v>
      </c>
      <c r="E345" s="13" t="s">
        <v>323</v>
      </c>
      <c r="F345" s="2"/>
      <c r="G345" s="2"/>
    </row>
    <row r="346" spans="1:7" x14ac:dyDescent="0.2">
      <c r="A346" s="10">
        <v>8943</v>
      </c>
      <c r="B346" s="10" t="s">
        <v>293</v>
      </c>
      <c r="C346" s="16"/>
      <c r="D346" s="16">
        <v>2565</v>
      </c>
      <c r="E346" s="13" t="s">
        <v>323</v>
      </c>
      <c r="F346" s="2"/>
      <c r="G346" s="2"/>
    </row>
    <row r="347" spans="1:7" x14ac:dyDescent="0.2">
      <c r="A347" s="10">
        <v>8945</v>
      </c>
      <c r="B347" s="10" t="s">
        <v>294</v>
      </c>
      <c r="C347" s="16"/>
      <c r="D347" s="16">
        <v>1857.6</v>
      </c>
      <c r="E347" s="13" t="s">
        <v>323</v>
      </c>
      <c r="F347" s="2"/>
      <c r="G347" s="2"/>
    </row>
    <row r="348" spans="1:7" x14ac:dyDescent="0.2">
      <c r="A348" s="10">
        <v>8981</v>
      </c>
      <c r="B348" s="10" t="s">
        <v>295</v>
      </c>
      <c r="C348" s="16"/>
      <c r="D348" s="16">
        <v>3639.6</v>
      </c>
      <c r="E348" s="13" t="s">
        <v>323</v>
      </c>
      <c r="F348" s="2"/>
      <c r="G348" s="2"/>
    </row>
    <row r="349" spans="1:7" x14ac:dyDescent="0.2">
      <c r="A349" s="10">
        <v>8985</v>
      </c>
      <c r="B349" s="10" t="s">
        <v>296</v>
      </c>
      <c r="C349" s="16"/>
      <c r="D349" s="16">
        <v>2916</v>
      </c>
      <c r="E349" s="13" t="s">
        <v>319</v>
      </c>
      <c r="F349" s="2"/>
      <c r="G349" s="2"/>
    </row>
    <row r="350" spans="1:7" x14ac:dyDescent="0.2">
      <c r="A350" s="10">
        <v>8995</v>
      </c>
      <c r="B350" s="10" t="s">
        <v>297</v>
      </c>
      <c r="C350" s="16"/>
      <c r="D350" s="16">
        <v>4406.3999999999996</v>
      </c>
      <c r="E350" s="13" t="s">
        <v>319</v>
      </c>
      <c r="F350" s="2"/>
      <c r="G350" s="2"/>
    </row>
    <row r="351" spans="1:7" x14ac:dyDescent="0.2">
      <c r="A351" s="10">
        <v>9015</v>
      </c>
      <c r="B351" s="10" t="s">
        <v>298</v>
      </c>
      <c r="C351" s="16"/>
      <c r="D351" s="16">
        <v>2721.6</v>
      </c>
      <c r="E351" s="13" t="s">
        <v>320</v>
      </c>
      <c r="F351" s="2"/>
      <c r="G351" s="2"/>
    </row>
    <row r="352" spans="1:7" x14ac:dyDescent="0.2">
      <c r="A352" s="10">
        <v>9016</v>
      </c>
      <c r="B352" s="10" t="s">
        <v>299</v>
      </c>
      <c r="C352" s="16"/>
      <c r="D352" s="16">
        <v>4795.2</v>
      </c>
      <c r="E352" s="13" t="s">
        <v>320</v>
      </c>
      <c r="F352" s="2"/>
      <c r="G352" s="2"/>
    </row>
    <row r="353" spans="1:7" x14ac:dyDescent="0.2">
      <c r="A353" s="10">
        <v>9154</v>
      </c>
      <c r="B353" s="10" t="s">
        <v>300</v>
      </c>
      <c r="C353" s="16"/>
      <c r="D353" s="16">
        <v>723.6</v>
      </c>
      <c r="E353" s="13" t="s">
        <v>313</v>
      </c>
      <c r="F353" s="2"/>
      <c r="G353" s="2"/>
    </row>
    <row r="354" spans="1:7" x14ac:dyDescent="0.2">
      <c r="A354" s="10">
        <v>9183</v>
      </c>
      <c r="B354" s="10" t="s">
        <v>301</v>
      </c>
      <c r="C354" s="16"/>
      <c r="D354" s="16">
        <v>7862.4</v>
      </c>
      <c r="E354" s="13" t="s">
        <v>313</v>
      </c>
      <c r="F354" s="2"/>
      <c r="G354" s="2"/>
    </row>
    <row r="355" spans="1:7" x14ac:dyDescent="0.2">
      <c r="A355" s="10">
        <v>9184</v>
      </c>
      <c r="B355" s="10" t="s">
        <v>301</v>
      </c>
      <c r="C355" s="16"/>
      <c r="D355" s="16">
        <v>7862.4</v>
      </c>
      <c r="E355" s="13" t="s">
        <v>313</v>
      </c>
      <c r="F355" s="2"/>
      <c r="G355" s="2"/>
    </row>
    <row r="356" spans="1:7" x14ac:dyDescent="0.2">
      <c r="A356" s="10">
        <v>9185</v>
      </c>
      <c r="B356" s="10" t="s">
        <v>301</v>
      </c>
      <c r="C356" s="16"/>
      <c r="D356" s="16">
        <v>7862.4</v>
      </c>
      <c r="E356" s="13" t="s">
        <v>313</v>
      </c>
      <c r="F356" s="2"/>
      <c r="G356" s="2"/>
    </row>
    <row r="357" spans="1:7" x14ac:dyDescent="0.2">
      <c r="A357" s="10">
        <v>9187</v>
      </c>
      <c r="B357" s="10" t="s">
        <v>302</v>
      </c>
      <c r="C357" s="16"/>
      <c r="D357" s="16">
        <v>4114.8</v>
      </c>
      <c r="E357" s="13" t="s">
        <v>313</v>
      </c>
      <c r="F357" s="2"/>
      <c r="G357" s="2"/>
    </row>
    <row r="358" spans="1:7" x14ac:dyDescent="0.2">
      <c r="A358" s="10">
        <v>9188</v>
      </c>
      <c r="B358" s="10" t="s">
        <v>303</v>
      </c>
      <c r="C358" s="16"/>
      <c r="D358" s="16">
        <v>718.2</v>
      </c>
      <c r="E358" s="13" t="s">
        <v>313</v>
      </c>
      <c r="F358" s="2"/>
      <c r="G358" s="2"/>
    </row>
    <row r="359" spans="1:7" x14ac:dyDescent="0.2">
      <c r="A359" s="11" t="s">
        <v>61</v>
      </c>
      <c r="B359" s="10" t="s">
        <v>304</v>
      </c>
      <c r="C359" s="16"/>
      <c r="D359" s="16">
        <v>718.2</v>
      </c>
      <c r="E359" s="13" t="s">
        <v>313</v>
      </c>
      <c r="F359" s="2"/>
      <c r="G359" s="2"/>
    </row>
    <row r="360" spans="1:7" x14ac:dyDescent="0.2">
      <c r="A360" s="11" t="s">
        <v>62</v>
      </c>
      <c r="B360" s="10" t="s">
        <v>305</v>
      </c>
      <c r="C360" s="16"/>
      <c r="D360" s="16">
        <v>820.8</v>
      </c>
      <c r="E360" s="13" t="s">
        <v>313</v>
      </c>
      <c r="F360" s="2"/>
      <c r="G360" s="2"/>
    </row>
    <row r="361" spans="1:7" x14ac:dyDescent="0.2">
      <c r="A361" s="10">
        <v>9190</v>
      </c>
      <c r="B361" s="10" t="s">
        <v>306</v>
      </c>
      <c r="C361" s="16"/>
      <c r="D361" s="16">
        <v>2505.6</v>
      </c>
      <c r="E361" s="13" t="s">
        <v>313</v>
      </c>
      <c r="F361" s="2"/>
      <c r="G361" s="2"/>
    </row>
    <row r="362" spans="1:7" x14ac:dyDescent="0.2">
      <c r="A362" s="10">
        <v>9191</v>
      </c>
      <c r="B362" s="10" t="s">
        <v>306</v>
      </c>
      <c r="C362" s="16"/>
      <c r="D362" s="16">
        <v>2505.6</v>
      </c>
      <c r="E362" s="13" t="s">
        <v>313</v>
      </c>
      <c r="F362" s="2"/>
      <c r="G362" s="2"/>
    </row>
    <row r="363" spans="1:7" x14ac:dyDescent="0.2">
      <c r="A363" s="10">
        <v>9192</v>
      </c>
      <c r="B363" s="10" t="s">
        <v>307</v>
      </c>
      <c r="C363" s="16"/>
      <c r="D363" s="16">
        <v>2505.6</v>
      </c>
      <c r="E363" s="13" t="s">
        <v>313</v>
      </c>
      <c r="F363" s="2"/>
      <c r="G363" s="2"/>
    </row>
    <row r="364" spans="1:7" x14ac:dyDescent="0.2">
      <c r="A364" s="10">
        <v>9193</v>
      </c>
      <c r="B364" s="10" t="s">
        <v>308</v>
      </c>
      <c r="C364" s="16"/>
      <c r="D364" s="16">
        <v>7862.4</v>
      </c>
      <c r="E364" s="13" t="s">
        <v>313</v>
      </c>
      <c r="F364" s="2"/>
      <c r="G364" s="2"/>
    </row>
    <row r="365" spans="1:7" x14ac:dyDescent="0.2">
      <c r="A365" s="10">
        <v>9198</v>
      </c>
      <c r="B365" s="10" t="s">
        <v>309</v>
      </c>
      <c r="C365" s="16"/>
      <c r="D365" s="16">
        <v>2365.1999999999998</v>
      </c>
      <c r="E365" s="13" t="s">
        <v>313</v>
      </c>
      <c r="F365" s="2"/>
      <c r="G365" s="2"/>
    </row>
    <row r="366" spans="1:7" x14ac:dyDescent="0.2">
      <c r="A366" s="10"/>
      <c r="B366" s="10"/>
      <c r="C366" s="10"/>
      <c r="D366" s="10"/>
      <c r="E366" s="13"/>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Full Estimate</vt:lpstr>
      <vt:lpstr>Records</vt:lpstr>
      <vt:lpstr>Whitening</vt:lpstr>
      <vt:lpstr>CBCT</vt:lpstr>
      <vt:lpstr>Inj Bonding 16</vt:lpstr>
      <vt:lpstr>Lookup Items</vt:lpstr>
      <vt:lpstr>Aesthetic pricing</vt:lpstr>
      <vt:lpstr>Pricing 2019</vt:lpstr>
      <vt:lpstr>'Full Estimate'!Print_Area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Greg Smithies</dc:creator>
  <cp:lastModifiedBy>Sheryl Smithies</cp:lastModifiedBy>
  <cp:lastPrinted>2020-11-18T11:33:39Z</cp:lastPrinted>
  <dcterms:created xsi:type="dcterms:W3CDTF">2018-10-31T16:20:31Z</dcterms:created>
  <dcterms:modified xsi:type="dcterms:W3CDTF">2026-04-22T06:37:12Z</dcterms:modified>
</cp:coreProperties>
</file>