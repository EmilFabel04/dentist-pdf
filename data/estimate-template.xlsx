
<file path=[Content_Types].xml><?xml version="1.0" encoding="utf-8"?>
<Types xmlns="http://schemas.openxmlformats.org/package/2006/content-types">
  <Default Extension="bin" ContentType="application/vnd.openxmlformats-officedocument.spreadsheetml.printerSettings"/>
  <Default Extension="gif" ContentType="image/gi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emilfabel/Desktop/"/>
    </mc:Choice>
  </mc:AlternateContent>
  <xr:revisionPtr revIDLastSave="0" documentId="8_{EB471277-79F3-8E4C-A70F-B214D4584BF3}" xr6:coauthVersionLast="47" xr6:coauthVersionMax="47" xr10:uidLastSave="{00000000-0000-0000-0000-000000000000}"/>
  <bookViews>
    <workbookView xWindow="0" yWindow="660" windowWidth="30240" windowHeight="18980" xr2:uid="{6317A26C-DF37-E040-9283-8A34DCC18C1A}"/>
  </bookViews>
  <sheets>
    <sheet name="Full Estimate" sheetId="1" r:id="rId1"/>
  </sheets>
  <externalReferences>
    <externalReference r:id="rId2"/>
  </externalReferences>
  <definedNames>
    <definedName name="_xlnm.Print_Area" localSheetId="0">'Full Estimate'!$A$1:$N$183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59" i="1" l="1"/>
  <c r="D158" i="1"/>
  <c r="D157" i="1"/>
  <c r="D156" i="1"/>
  <c r="D155" i="1"/>
  <c r="D154" i="1"/>
  <c r="K88" i="1"/>
  <c r="M88" i="1" s="1"/>
  <c r="H88" i="1"/>
  <c r="E88" i="1"/>
  <c r="K87" i="1"/>
  <c r="M87" i="1" s="1"/>
  <c r="H87" i="1"/>
  <c r="E87" i="1"/>
  <c r="K86" i="1"/>
  <c r="M86" i="1" s="1"/>
  <c r="H86" i="1"/>
  <c r="E86" i="1"/>
  <c r="M85" i="1"/>
  <c r="K85" i="1"/>
  <c r="H85" i="1"/>
  <c r="E85" i="1"/>
  <c r="K84" i="1"/>
  <c r="M84" i="1" s="1"/>
  <c r="M89" i="1" s="1"/>
  <c r="H84" i="1"/>
  <c r="E84" i="1"/>
  <c r="K77" i="1"/>
  <c r="M77" i="1" s="1"/>
  <c r="H77" i="1"/>
  <c r="E77" i="1"/>
  <c r="K76" i="1"/>
  <c r="M76" i="1" s="1"/>
  <c r="H76" i="1"/>
  <c r="E76" i="1"/>
  <c r="K75" i="1"/>
  <c r="M75" i="1" s="1"/>
  <c r="H75" i="1"/>
  <c r="E75" i="1"/>
  <c r="K74" i="1"/>
  <c r="M74" i="1" s="1"/>
  <c r="H74" i="1"/>
  <c r="E74" i="1"/>
  <c r="K73" i="1"/>
  <c r="M73" i="1" s="1"/>
  <c r="H73" i="1"/>
  <c r="E73" i="1"/>
  <c r="K72" i="1"/>
  <c r="M72" i="1" s="1"/>
  <c r="H72" i="1"/>
  <c r="E72" i="1"/>
  <c r="K71" i="1"/>
  <c r="M71" i="1" s="1"/>
  <c r="H71" i="1"/>
  <c r="E71" i="1"/>
  <c r="K70" i="1"/>
  <c r="M70" i="1" s="1"/>
  <c r="H70" i="1"/>
  <c r="E70" i="1"/>
  <c r="K69" i="1"/>
  <c r="M69" i="1" s="1"/>
  <c r="H69" i="1"/>
  <c r="E69" i="1"/>
  <c r="K68" i="1"/>
  <c r="M68" i="1" s="1"/>
  <c r="H68" i="1"/>
  <c r="E68" i="1"/>
  <c r="M67" i="1"/>
  <c r="K67" i="1"/>
  <c r="H67" i="1"/>
  <c r="E67" i="1"/>
  <c r="K66" i="1"/>
  <c r="M66" i="1" s="1"/>
  <c r="H66" i="1"/>
  <c r="E66" i="1"/>
  <c r="K65" i="1"/>
  <c r="M65" i="1" s="1"/>
  <c r="H65" i="1"/>
  <c r="E65" i="1"/>
  <c r="K64" i="1"/>
  <c r="M64" i="1" s="1"/>
  <c r="H64" i="1"/>
  <c r="E64" i="1"/>
  <c r="K63" i="1"/>
  <c r="M63" i="1" s="1"/>
  <c r="H63" i="1"/>
  <c r="E63" i="1"/>
  <c r="K62" i="1"/>
  <c r="M62" i="1" s="1"/>
  <c r="H62" i="1"/>
  <c r="E62" i="1"/>
  <c r="M61" i="1"/>
  <c r="K61" i="1"/>
  <c r="H61" i="1"/>
  <c r="E61" i="1"/>
  <c r="K60" i="1"/>
  <c r="M60" i="1" s="1"/>
  <c r="H60" i="1"/>
  <c r="E60" i="1"/>
  <c r="K59" i="1"/>
  <c r="M59" i="1" s="1"/>
  <c r="H59" i="1"/>
  <c r="E59" i="1"/>
  <c r="K58" i="1"/>
  <c r="M58" i="1" s="1"/>
  <c r="H58" i="1"/>
  <c r="E58" i="1"/>
  <c r="K57" i="1"/>
  <c r="M57" i="1" s="1"/>
  <c r="H57" i="1"/>
  <c r="E57" i="1"/>
  <c r="K56" i="1"/>
  <c r="M56" i="1" s="1"/>
  <c r="H56" i="1"/>
  <c r="E56" i="1"/>
  <c r="K55" i="1"/>
  <c r="M55" i="1" s="1"/>
  <c r="H55" i="1"/>
  <c r="E55" i="1"/>
  <c r="K54" i="1"/>
  <c r="M54" i="1" s="1"/>
  <c r="H54" i="1"/>
  <c r="E54" i="1"/>
  <c r="K53" i="1"/>
  <c r="M53" i="1" s="1"/>
  <c r="H53" i="1"/>
  <c r="E53" i="1"/>
  <c r="K52" i="1"/>
  <c r="M52" i="1" s="1"/>
  <c r="H52" i="1"/>
  <c r="E52" i="1"/>
  <c r="K51" i="1"/>
  <c r="M51" i="1" s="1"/>
  <c r="H51" i="1"/>
  <c r="E51" i="1"/>
  <c r="K50" i="1"/>
  <c r="M50" i="1" s="1"/>
  <c r="H50" i="1"/>
  <c r="E50" i="1"/>
  <c r="K49" i="1"/>
  <c r="M49" i="1" s="1"/>
  <c r="H49" i="1"/>
  <c r="E49" i="1"/>
  <c r="K48" i="1"/>
  <c r="M48" i="1" s="1"/>
  <c r="H48" i="1"/>
  <c r="E48" i="1"/>
  <c r="K47" i="1"/>
  <c r="M47" i="1" s="1"/>
  <c r="H47" i="1"/>
  <c r="E47" i="1"/>
  <c r="K46" i="1"/>
  <c r="M46" i="1" s="1"/>
  <c r="H46" i="1"/>
  <c r="E46" i="1"/>
  <c r="K45" i="1"/>
  <c r="M45" i="1" s="1"/>
  <c r="H45" i="1"/>
  <c r="E45" i="1"/>
  <c r="M78" i="1" l="1"/>
  <c r="M81" i="1"/>
  <c r="M90" i="1" s="1"/>
  <c r="L41" i="1" s="1"/>
  <c r="M79" i="1"/>
  <c r="M80" i="1"/>
</calcChain>
</file>

<file path=xl/sharedStrings.xml><?xml version="1.0" encoding="utf-8"?>
<sst xmlns="http://schemas.openxmlformats.org/spreadsheetml/2006/main" count="108" uniqueCount="99">
  <si>
    <t>Dr Sheryl Smithies BChD (PRET)</t>
  </si>
  <si>
    <t>T: +27 (0) 21 418 2048</t>
  </si>
  <si>
    <t>Practice Number: 0640867.    VAT 4250276690</t>
  </si>
  <si>
    <t>t: +27 (0) 21 418 2048</t>
  </si>
  <si>
    <t xml:space="preserve">e: nikita@enamel.clinic </t>
  </si>
  <si>
    <t>Dear</t>
  </si>
  <si>
    <t>Date:</t>
  </si>
  <si>
    <t>I hope this letter finds you well.  Following your recent appointment and review of the available information, my advice for treatment is as per the following estimate.  This estimate details the necessary appointments and sequence of treatment.</t>
  </si>
  <si>
    <t>NB: This estimate is valid for 6 months.  Fees increase at the beginning of each calendar year, therefore, fees will be adjusted accordingly should your treatment plan extend into a new year.  3rd party provider fees are subject to change depending on the provider.</t>
  </si>
  <si>
    <t>Proposed Treatment Plan:</t>
  </si>
  <si>
    <t>Appointment Breakdown:</t>
  </si>
  <si>
    <t>Treatments</t>
  </si>
  <si>
    <t>Appointment Length</t>
  </si>
  <si>
    <t>Appointment 1</t>
  </si>
  <si>
    <t>Appointment 2</t>
  </si>
  <si>
    <t>Appointment 3</t>
  </si>
  <si>
    <t>Appointment 4</t>
  </si>
  <si>
    <t>Appointment 5</t>
  </si>
  <si>
    <t>Appointment 6</t>
  </si>
  <si>
    <t>Appointment 7</t>
  </si>
  <si>
    <t>The expected costs or the proposed dental treatment are as follows:</t>
  </si>
  <si>
    <t>Grand Total For This Estimate (including lab fee approximation)</t>
  </si>
  <si>
    <t>Item Code</t>
  </si>
  <si>
    <t>Description</t>
  </si>
  <si>
    <t>ICD-10 Codes</t>
  </si>
  <si>
    <t>Provider</t>
  </si>
  <si>
    <t>Tooth Numbers</t>
  </si>
  <si>
    <t>Per Unit Price</t>
  </si>
  <si>
    <t>Units</t>
  </si>
  <si>
    <t>Total</t>
  </si>
  <si>
    <t>DISCOUNT 5% VALID 30 DAYS</t>
  </si>
  <si>
    <t>DISCOUNT 10% VALID FOR 30 DAYS</t>
  </si>
  <si>
    <t>DISCOUNT 15% VALID FOR 30 DAYS</t>
  </si>
  <si>
    <t>Discounts above are only valid for deposit/full  payment via EFT within 30 days of the date of this estimate.  Any payments made later than 30 days will lose the discount above.</t>
  </si>
  <si>
    <t>TOTAL (incl discount for our fees, excl 3rd party fees)</t>
  </si>
  <si>
    <t>For the discount we will request that you review our treatment of your case on our Google My Business page (link will be supplied) at the end of treatment.                                                                                                                                             For the 15% discount we will request that you agree to allow us to use your clinical photos for social media including intra-oral as well as extra-oral photos.</t>
  </si>
  <si>
    <t>Third Party Fees (PRICES SUBJECT TO VARY FROM SUPPLIERS)</t>
  </si>
  <si>
    <t>TOTAL</t>
  </si>
  <si>
    <t>Total (including lab fee approximation)</t>
  </si>
  <si>
    <t xml:space="preserve">                              Patient's Right</t>
  </si>
  <si>
    <t xml:space="preserve">               Patient's Left  </t>
  </si>
  <si>
    <r>
      <t xml:space="preserve">Kindly Read the </t>
    </r>
    <r>
      <rPr>
        <u/>
        <sz val="20"/>
        <color theme="1"/>
        <rFont val="Calibri"/>
        <family val="2"/>
        <scheme val="minor"/>
      </rPr>
      <t>Terms and Conditions</t>
    </r>
    <r>
      <rPr>
        <sz val="20"/>
        <color theme="1"/>
        <rFont val="Calibri"/>
        <family val="2"/>
        <scheme val="minor"/>
      </rPr>
      <t xml:space="preserve"> below, sign and send back to us</t>
    </r>
  </si>
  <si>
    <t xml:space="preserve">I, __________________________________________________ hereby accept this estimate from Dr Smithies ("the </t>
  </si>
  <si>
    <t xml:space="preserve"> dentist") in the amount of R____________________________ for the work described herein and agree to pay this sum as per payment option set out below.</t>
  </si>
  <si>
    <t>I acknowledge that the dentist may be required to do additional work that is reasonably necessary and related to the procedure
described in this estimate. I further acknowledge that the need for any additional treatment may only become evident during the
procedure and only once both parties have agreed on the additional work required and fee amount in respect of the additional
work, do I accept and acknowledge that I am liable for the estimated amount and the agreed additional fee that maybe applicable.
The agreement of the additional work must be in writing and signed separately in a new estimate.</t>
  </si>
  <si>
    <t>Payment Options</t>
  </si>
  <si>
    <r>
      <t xml:space="preserve">Payment Option 1 = Upfront Payment via </t>
    </r>
    <r>
      <rPr>
        <u/>
        <sz val="20"/>
        <color rgb="FF000000"/>
        <rFont val="Calibri (Body)"/>
      </rPr>
      <t>EFT only</t>
    </r>
    <r>
      <rPr>
        <sz val="20"/>
        <color rgb="FF000000"/>
        <rFont val="Calibri"/>
        <family val="2"/>
        <scheme val="minor"/>
      </rPr>
      <t xml:space="preserve"> receives 5% discount on clinical fees </t>
    </r>
    <r>
      <rPr>
        <sz val="16"/>
        <color rgb="FF000000"/>
        <rFont val="Calibri (Body)"/>
      </rPr>
      <t>(excluding third party  fees)</t>
    </r>
  </si>
  <si>
    <t>** this discount does not apply if other discounts have been granted above.</t>
  </si>
  <si>
    <t>Sign</t>
  </si>
  <si>
    <t>Payment Option 2 = pay 50% deposit on acceptance of this estimate and 50% on the completion of treatment.</t>
  </si>
  <si>
    <t>** this does not apply to aligner therapy treatments</t>
  </si>
  <si>
    <t>Domicilium Citandi Et Executandi</t>
  </si>
  <si>
    <t>I hereby elect the below mentioned address as the domicilium citandi et executandi at which I will accept service of all notices, processes and documents.</t>
  </si>
  <si>
    <t>General</t>
  </si>
  <si>
    <t>No alteration, canelllation, variation of, or addition hereto shall be of any force or effect unless reduced to writing and signed by all parties to this agreement or their duly authorized representatives.</t>
  </si>
  <si>
    <t>This document contains the entire agreement between the parties and no party shall be bound by any undertaking, representations, warranties, promises or the like not recorded herein.</t>
  </si>
  <si>
    <t>Any indulgence by any party to another shall not prejudice the rights of such party not be deemed to be a novation of this agreement or a waiver of that party's rights against the other.</t>
  </si>
  <si>
    <t>Prices include 15% VAT.  No refunds will be entertained on treatment provided.</t>
  </si>
  <si>
    <t>This estimate does not include any fees that other specialists may charge eg maxillofacial surgeons, periodontists, etc.</t>
  </si>
  <si>
    <t>Please note that any third party fees are just approximate costs.  The exchange rate plays a large role in the costs from the laboratory.  Please use these costs as a guideline.</t>
  </si>
  <si>
    <t>Cancellations</t>
  </si>
  <si>
    <t>Appointments that are cancelled with less than 24 hours notice or missed altogether will be charged for at R550 for each half hour to cover surgery expenses.</t>
  </si>
  <si>
    <t>Information about your treatment:</t>
  </si>
  <si>
    <t>Below is some information about what to expect with your treatment and advice on how to care for it.</t>
  </si>
  <si>
    <t>Any treatment will last better if kept in the most ideal conditions as below.  We suggest that the following should be done to ensure best health and longevity of your treatment.</t>
  </si>
  <si>
    <t>1)</t>
  </si>
  <si>
    <t>Dental Checkups to be maintained every 6 months unless otherwise specified below.  We are able to check on the health of the new treatmnt as well as monitor for any new problem areas arising.</t>
  </si>
  <si>
    <t>2)</t>
  </si>
  <si>
    <t>Dental cleans are to be done every 6 months unless otherwise specified below.  These keep the environment of your mouth healthy and ensure longevity of your teeth, gums and treatments.</t>
  </si>
  <si>
    <t>3)</t>
  </si>
  <si>
    <t>If a bite plate was made for you, this is to be worn every night to ensure the protection of your teeth and new dental treatments.</t>
  </si>
  <si>
    <t>4)</t>
  </si>
  <si>
    <t>Any provisional fillings, crowns or bridges are brittle by nature.  Please be extra gentle on them.  Any breakages or repairs may be charged for over and above the cost of the treatment.</t>
  </si>
  <si>
    <t>5)</t>
  </si>
  <si>
    <t>In the event of implant failure (early or late stage), the costs of the replacement of the implant and the remake of the prosthesis will be charged for.   Any sundry costs will be charged for.   We will endeavour to use any components again however, there is no guarantee that they will fit the area when a new implant is placed.</t>
  </si>
  <si>
    <t>6)</t>
  </si>
  <si>
    <t>We will guarantee your treatment for 3 years for porcelain/ zirconia veneers, crowns or bridges and 1 year for any other treatment from date of treatment dependent on the 6 monthly checkups, 6 monthly oral hygiene appointments being maintained.  The onus is on the patient to ensure that these appointments are made and kept religiously.  Also, if a night guard was supplied to you this must be worn religiously every night.  Accidents and habits such as chewing ice, biting nails or skin etc cannot be guaranteed unfortunately.  Any provisional treatments of a temporary nature cannot be guaranteed.  See point 4 above.</t>
  </si>
  <si>
    <t>Initial</t>
  </si>
  <si>
    <t>Treatment Type</t>
  </si>
  <si>
    <t>What to expect and Aftercare</t>
  </si>
  <si>
    <t>PPE and Infection Control</t>
  </si>
  <si>
    <t>Signed</t>
  </si>
  <si>
    <t>_________________________________</t>
  </si>
  <si>
    <t>Name:_____________________________________</t>
  </si>
  <si>
    <t>Address: _______________________________________________________________________________</t>
  </si>
  <si>
    <t>Banking Details for EFT payments:</t>
  </si>
  <si>
    <t>Kind Regards,</t>
  </si>
  <si>
    <t xml:space="preserve">Bank </t>
  </si>
  <si>
    <t>FNB</t>
  </si>
  <si>
    <t>Branch code</t>
  </si>
  <si>
    <t>Acc Name</t>
  </si>
  <si>
    <t>The Smile Emporium INC</t>
  </si>
  <si>
    <t>Acc no</t>
  </si>
  <si>
    <t>Ref</t>
  </si>
  <si>
    <t>Your name and surname.</t>
  </si>
  <si>
    <t>Sheryl Smithies</t>
  </si>
  <si>
    <t>Dr Sheryl Smithies</t>
  </si>
  <si>
    <t>SWIFT</t>
  </si>
  <si>
    <t>FIRNZAJJ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</si>
</sst>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quot;#,##0.00"/>
    <numFmt numFmtId="165" formatCode="[$-1C09]dd\ mmmm\ yyyy;@"/>
  </numFmts>
  <fonts count="31" x14ac:knownFonts="1">
    <font>
      <sz val="12"/>
      <color theme="1"/>
      <name val="Calibri"/>
      <family val="2"/>
      <scheme val="minor"/>
    </font>
    <font>
      <b/>
      <sz val="12"/>
      <color theme="1"/>
      <name val="Calibri"/>
      <family val="2"/>
      <scheme val="minor"/>
    </font>
    <font>
      <b/>
      <i/>
      <u/>
      <sz val="18"/>
      <color theme="1"/>
      <name val="Calibri"/>
      <family val="2"/>
      <scheme val="minor"/>
    </font>
    <font>
      <b/>
      <sz val="16"/>
      <color theme="1"/>
      <name val="Calibri"/>
      <family val="2"/>
      <scheme val="minor"/>
    </font>
    <font>
      <b/>
      <sz val="20"/>
      <color theme="1"/>
      <name val="Calibri"/>
      <family val="2"/>
      <scheme val="minor"/>
    </font>
    <font>
      <sz val="20"/>
      <color theme="1"/>
      <name val="Calibri"/>
      <family val="2"/>
      <scheme val="minor"/>
    </font>
    <font>
      <sz val="22"/>
      <color theme="1"/>
      <name val="Calibri"/>
      <family val="2"/>
      <scheme val="minor"/>
    </font>
    <font>
      <b/>
      <sz val="22"/>
      <color theme="1"/>
      <name val="Calibri"/>
      <family val="2"/>
      <scheme val="minor"/>
    </font>
    <font>
      <u/>
      <sz val="22"/>
      <color theme="1"/>
      <name val="Calibri"/>
      <family val="2"/>
      <scheme val="minor"/>
    </font>
    <font>
      <b/>
      <u/>
      <sz val="22"/>
      <color theme="1"/>
      <name val="Calibri"/>
      <family val="2"/>
      <scheme val="minor"/>
    </font>
    <font>
      <b/>
      <u/>
      <sz val="16"/>
      <color theme="1"/>
      <name val="Calibri"/>
      <family val="2"/>
      <scheme val="minor"/>
    </font>
    <font>
      <b/>
      <u/>
      <sz val="20"/>
      <color theme="1"/>
      <name val="Calibri"/>
      <family val="2"/>
      <scheme val="minor"/>
    </font>
    <font>
      <sz val="14"/>
      <color theme="1"/>
      <name val="Calibri"/>
      <family val="2"/>
      <scheme val="minor"/>
    </font>
    <font>
      <b/>
      <sz val="14"/>
      <color theme="1"/>
      <name val="Calibri"/>
      <family val="2"/>
      <scheme val="minor"/>
    </font>
    <font>
      <b/>
      <u val="singleAccounting"/>
      <sz val="14"/>
      <color theme="1"/>
      <name val="Calibri"/>
      <family val="2"/>
      <scheme val="minor"/>
    </font>
    <font>
      <sz val="18"/>
      <color theme="1"/>
      <name val="Calibri"/>
      <family val="2"/>
      <scheme val="minor"/>
    </font>
    <font>
      <u/>
      <sz val="18"/>
      <color theme="1"/>
      <name val="Calibri"/>
      <family val="2"/>
      <scheme val="minor"/>
    </font>
    <font>
      <sz val="10"/>
      <color theme="1"/>
      <name val="Calibri"/>
      <family val="2"/>
      <scheme val="minor"/>
    </font>
    <font>
      <i/>
      <u/>
      <sz val="18"/>
      <color theme="1"/>
      <name val="Calibri"/>
      <family val="2"/>
      <scheme val="minor"/>
    </font>
    <font>
      <i/>
      <sz val="18"/>
      <color theme="1"/>
      <name val="Calibri"/>
      <family val="2"/>
      <scheme val="minor"/>
    </font>
    <font>
      <i/>
      <sz val="14"/>
      <color theme="1"/>
      <name val="Calibri"/>
      <family val="2"/>
      <scheme val="minor"/>
    </font>
    <font>
      <i/>
      <sz val="10"/>
      <color theme="1"/>
      <name val="Calibri"/>
      <family val="2"/>
      <scheme val="minor"/>
    </font>
    <font>
      <sz val="16"/>
      <color theme="1"/>
      <name val="Calibri"/>
      <family val="2"/>
      <scheme val="minor"/>
    </font>
    <font>
      <u/>
      <sz val="16"/>
      <color theme="1"/>
      <name val="Calibri"/>
      <family val="2"/>
      <scheme val="minor"/>
    </font>
    <font>
      <b/>
      <u/>
      <sz val="18"/>
      <color theme="1"/>
      <name val="Calibri"/>
      <family val="2"/>
      <scheme val="minor"/>
    </font>
    <font>
      <u/>
      <sz val="20"/>
      <color theme="1"/>
      <name val="Calibri"/>
      <family val="2"/>
      <scheme val="minor"/>
    </font>
    <font>
      <sz val="20"/>
      <color rgb="FF000000"/>
      <name val="Calibri"/>
      <family val="2"/>
      <scheme val="minor"/>
    </font>
    <font>
      <u/>
      <sz val="20"/>
      <color rgb="FF000000"/>
      <name val="Calibri (Body)"/>
    </font>
    <font>
      <sz val="16"/>
      <color rgb="FF000000"/>
      <name val="Calibri (Body)"/>
    </font>
    <font>
      <b/>
      <sz val="18"/>
      <color theme="1"/>
      <name val="Calibri"/>
      <family val="2"/>
      <scheme val="minor"/>
    </font>
    <font>
      <b/>
      <sz val="26"/>
      <color theme="1"/>
      <name val="Apple Chancery"/>
      <family val="4"/>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rgb="FF000000"/>
      </patternFill>
    </fill>
  </fills>
  <borders count="25">
    <border>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64"/>
      </left>
      <right/>
      <top style="medium">
        <color indexed="64"/>
      </top>
      <bottom style="thin">
        <color indexed="64"/>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2">
    <xf numFmtId="0" fontId="0" fillId="0" borderId="0" xfId="0"/>
    <xf numFmtId="0" fontId="1" fillId="2" borderId="0" xfId="0" applyFont="1" applyFill="1"/>
    <xf numFmtId="0" fontId="0" fillId="2" borderId="0" xfId="0" applyFill="1" applyAlignment="1">
      <alignment horizontal="center"/>
    </xf>
    <xf numFmtId="164" fontId="0" fillId="2" borderId="0" xfId="0" applyNumberFormat="1" applyFill="1"/>
    <xf numFmtId="0" fontId="2" fillId="2" borderId="0" xfId="0" applyFont="1" applyFill="1" applyAlignment="1">
      <alignment horizontal="center"/>
    </xf>
    <xf numFmtId="0" fontId="0" fillId="2" borderId="0" xfId="0" applyFill="1"/>
    <xf numFmtId="0" fontId="3" fillId="2" borderId="0" xfId="0" applyFont="1" applyFill="1"/>
    <xf numFmtId="164" fontId="3" fillId="2" borderId="0" xfId="0" applyNumberFormat="1" applyFont="1" applyFill="1"/>
    <xf numFmtId="0" fontId="3" fillId="0" borderId="0" xfId="0" applyFont="1"/>
    <xf numFmtId="0" fontId="0" fillId="2" borderId="0" xfId="0" applyFill="1" applyAlignment="1">
      <alignment horizontal="left" vertical="top" wrapText="1"/>
    </xf>
    <xf numFmtId="0" fontId="0" fillId="0" borderId="0" xfId="0" applyAlignment="1">
      <alignment vertical="top" wrapText="1"/>
    </xf>
    <xf numFmtId="0" fontId="4" fillId="2" borderId="0" xfId="0" applyFont="1" applyFill="1" applyAlignment="1">
      <alignment horizontal="center" wrapText="1"/>
    </xf>
    <xf numFmtId="0" fontId="0" fillId="2" borderId="0" xfId="0" applyFill="1" applyAlignment="1">
      <alignment horizontal="left" wrapText="1"/>
    </xf>
    <xf numFmtId="0" fontId="0" fillId="0" borderId="0" xfId="0" applyAlignment="1">
      <alignment wrapText="1"/>
    </xf>
    <xf numFmtId="0" fontId="5" fillId="2" borderId="0" xfId="0" applyFont="1" applyFill="1" applyAlignment="1">
      <alignment horizontal="center" vertical="top" wrapText="1"/>
    </xf>
    <xf numFmtId="0" fontId="6" fillId="2" borderId="0" xfId="0" applyFont="1" applyFill="1"/>
    <xf numFmtId="0" fontId="6" fillId="2" borderId="0" xfId="0" applyFont="1" applyFill="1" applyAlignment="1">
      <alignment horizontal="left" vertical="top" wrapText="1"/>
    </xf>
    <xf numFmtId="0" fontId="6" fillId="2" borderId="1" xfId="0" applyFont="1" applyFill="1" applyBorder="1" applyAlignment="1">
      <alignment horizontal="left" vertical="top" wrapText="1"/>
    </xf>
    <xf numFmtId="0" fontId="6" fillId="0" borderId="0" xfId="0" applyFont="1" applyAlignment="1">
      <alignment vertical="top" wrapText="1"/>
    </xf>
    <xf numFmtId="0" fontId="6" fillId="0" borderId="0" xfId="0" applyFont="1"/>
    <xf numFmtId="0" fontId="6" fillId="2" borderId="0" xfId="0" applyFont="1" applyFill="1" applyAlignment="1">
      <alignment vertical="top" wrapText="1"/>
    </xf>
    <xf numFmtId="165" fontId="6" fillId="0" borderId="0" xfId="0" applyNumberFormat="1" applyFont="1" applyAlignment="1">
      <alignment vertical="top" wrapText="1"/>
    </xf>
    <xf numFmtId="165" fontId="6" fillId="2" borderId="0" xfId="0" applyNumberFormat="1" applyFont="1" applyFill="1" applyAlignment="1">
      <alignment vertical="top" wrapText="1"/>
    </xf>
    <xf numFmtId="0" fontId="6" fillId="2" borderId="0" xfId="0" applyFont="1" applyFill="1" applyAlignment="1">
      <alignment horizontal="left" vertical="top" wrapText="1"/>
    </xf>
    <xf numFmtId="164" fontId="6" fillId="2" borderId="0" xfId="0" applyNumberFormat="1" applyFont="1" applyFill="1"/>
    <xf numFmtId="0" fontId="7" fillId="2" borderId="0" xfId="0" applyFont="1" applyFill="1" applyAlignment="1">
      <alignment horizontal="left" vertical="top" wrapText="1"/>
    </xf>
    <xf numFmtId="0" fontId="8" fillId="2" borderId="0" xfId="0" applyFont="1" applyFill="1" applyAlignment="1">
      <alignment horizontal="left" vertical="top" wrapText="1"/>
    </xf>
    <xf numFmtId="0" fontId="7" fillId="2" borderId="2" xfId="0" applyFont="1" applyFill="1" applyBorder="1" applyAlignment="1">
      <alignment horizontal="center" vertical="top" wrapText="1"/>
    </xf>
    <xf numFmtId="0" fontId="6" fillId="2" borderId="3"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0" xfId="0" applyFont="1" applyFill="1" applyAlignment="1">
      <alignment horizontal="left" vertical="center" wrapText="1"/>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6" fillId="2" borderId="7"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0" xfId="0" applyFont="1" applyFill="1" applyAlignment="1">
      <alignment horizontal="left" wrapText="1"/>
    </xf>
    <xf numFmtId="0" fontId="1" fillId="2" borderId="0" xfId="0" applyFont="1" applyFill="1" applyAlignment="1">
      <alignment horizontal="left"/>
    </xf>
    <xf numFmtId="0" fontId="9" fillId="2" borderId="0" xfId="0" applyFont="1" applyFill="1" applyAlignment="1">
      <alignment horizontal="right"/>
    </xf>
    <xf numFmtId="164" fontId="9" fillId="2" borderId="0" xfId="0" applyNumberFormat="1" applyFont="1" applyFill="1"/>
    <xf numFmtId="164" fontId="9" fillId="2" borderId="8" xfId="0" applyNumberFormat="1" applyFont="1" applyFill="1" applyBorder="1" applyAlignment="1">
      <alignment horizontal="center"/>
    </xf>
    <xf numFmtId="164" fontId="9" fillId="2" borderId="9" xfId="0" applyNumberFormat="1" applyFont="1" applyFill="1" applyBorder="1" applyAlignment="1">
      <alignment horizontal="center"/>
    </xf>
    <xf numFmtId="164" fontId="9" fillId="2" borderId="10" xfId="0" applyNumberFormat="1" applyFont="1" applyFill="1" applyBorder="1" applyAlignment="1">
      <alignment horizontal="center"/>
    </xf>
    <xf numFmtId="0" fontId="10" fillId="0" borderId="0" xfId="0" applyFont="1"/>
    <xf numFmtId="0" fontId="10" fillId="2" borderId="0" xfId="0" applyFont="1" applyFill="1"/>
    <xf numFmtId="0" fontId="11" fillId="2" borderId="0" xfId="0" applyFont="1" applyFill="1" applyAlignment="1">
      <alignment horizontal="left"/>
    </xf>
    <xf numFmtId="0" fontId="11" fillId="2" borderId="0" xfId="0" applyFont="1" applyFill="1"/>
    <xf numFmtId="164" fontId="11" fillId="2" borderId="0" xfId="0" applyNumberFormat="1" applyFont="1" applyFill="1"/>
    <xf numFmtId="164" fontId="10" fillId="2" borderId="0" xfId="0" applyNumberFormat="1" applyFont="1" applyFill="1"/>
    <xf numFmtId="0" fontId="10" fillId="2" borderId="0" xfId="0" applyFont="1" applyFill="1" applyAlignment="1">
      <alignment horizontal="left"/>
    </xf>
    <xf numFmtId="0" fontId="12" fillId="0" borderId="0" xfId="0" applyFont="1" applyAlignment="1">
      <alignment wrapText="1"/>
    </xf>
    <xf numFmtId="0" fontId="13" fillId="2" borderId="11" xfId="0" applyFont="1" applyFill="1" applyBorder="1" applyAlignment="1">
      <alignment wrapText="1"/>
    </xf>
    <xf numFmtId="0" fontId="14" fillId="2" borderId="12" xfId="0" applyFont="1" applyFill="1" applyBorder="1" applyAlignment="1">
      <alignment horizontal="left" wrapText="1"/>
    </xf>
    <xf numFmtId="0" fontId="14" fillId="2" borderId="13" xfId="0" applyFont="1" applyFill="1" applyBorder="1" applyAlignment="1">
      <alignment horizontal="center" wrapText="1"/>
    </xf>
    <xf numFmtId="0" fontId="14" fillId="2" borderId="12" xfId="0" applyFont="1" applyFill="1" applyBorder="1" applyAlignment="1">
      <alignment wrapText="1"/>
    </xf>
    <xf numFmtId="164" fontId="14" fillId="2" borderId="12" xfId="0" applyNumberFormat="1" applyFont="1" applyFill="1" applyBorder="1" applyAlignment="1">
      <alignment wrapText="1"/>
    </xf>
    <xf numFmtId="0" fontId="13" fillId="2" borderId="14" xfId="0" applyFont="1" applyFill="1" applyBorder="1" applyAlignment="1">
      <alignment wrapText="1"/>
    </xf>
    <xf numFmtId="0" fontId="12" fillId="2" borderId="0" xfId="0" applyFont="1" applyFill="1" applyAlignment="1">
      <alignment wrapText="1"/>
    </xf>
    <xf numFmtId="0" fontId="12" fillId="0" borderId="0" xfId="0" applyFont="1" applyAlignment="1">
      <alignment horizontal="left" wrapText="1"/>
    </xf>
    <xf numFmtId="0" fontId="15" fillId="0" borderId="0" xfId="0" applyFont="1"/>
    <xf numFmtId="0" fontId="16" fillId="2" borderId="15" xfId="0" applyFont="1" applyFill="1" applyBorder="1" applyAlignment="1">
      <alignment horizontal="center"/>
    </xf>
    <xf numFmtId="0" fontId="15" fillId="2" borderId="0" xfId="0" applyFont="1" applyFill="1" applyAlignment="1">
      <alignment horizontal="center" vertical="top"/>
    </xf>
    <xf numFmtId="0" fontId="12" fillId="2" borderId="0" xfId="0" applyFont="1" applyFill="1" applyAlignment="1">
      <alignment horizontal="left" vertical="top"/>
    </xf>
    <xf numFmtId="0" fontId="15" fillId="2" borderId="0" xfId="0" applyFont="1" applyFill="1" applyAlignment="1">
      <alignment vertical="top" wrapText="1"/>
    </xf>
    <xf numFmtId="0" fontId="17" fillId="2" borderId="0" xfId="0" applyFont="1" applyFill="1" applyAlignment="1">
      <alignment horizontal="left" vertical="center" wrapText="1"/>
    </xf>
    <xf numFmtId="164" fontId="15" fillId="2" borderId="0" xfId="0" applyNumberFormat="1" applyFont="1" applyFill="1" applyAlignment="1">
      <alignment vertical="top" wrapText="1"/>
    </xf>
    <xf numFmtId="0" fontId="15" fillId="2" borderId="0" xfId="0" applyFont="1" applyFill="1" applyAlignment="1">
      <alignment vertical="top"/>
    </xf>
    <xf numFmtId="164" fontId="15" fillId="2" borderId="0" xfId="0" applyNumberFormat="1" applyFont="1" applyFill="1" applyAlignment="1">
      <alignment vertical="top"/>
    </xf>
    <xf numFmtId="164" fontId="16" fillId="2" borderId="16" xfId="0" applyNumberFormat="1" applyFont="1" applyFill="1" applyBorder="1" applyAlignment="1">
      <alignment vertical="top"/>
    </xf>
    <xf numFmtId="0" fontId="15" fillId="2" borderId="0" xfId="0" applyFont="1" applyFill="1"/>
    <xf numFmtId="0" fontId="16" fillId="2" borderId="16" xfId="0" applyFont="1" applyFill="1" applyBorder="1" applyAlignment="1">
      <alignment vertical="top"/>
    </xf>
    <xf numFmtId="0" fontId="18" fillId="2" borderId="15" xfId="0" applyFont="1" applyFill="1" applyBorder="1" applyAlignment="1">
      <alignment horizontal="center"/>
    </xf>
    <xf numFmtId="0" fontId="19" fillId="2" borderId="0" xfId="0" applyFont="1" applyFill="1" applyAlignment="1">
      <alignment horizontal="center" vertical="top"/>
    </xf>
    <xf numFmtId="0" fontId="20" fillId="3" borderId="0" xfId="0" applyFont="1" applyFill="1" applyAlignment="1">
      <alignment horizontal="left" vertical="top"/>
    </xf>
    <xf numFmtId="0" fontId="19" fillId="2" borderId="0" xfId="0" applyFont="1" applyFill="1" applyAlignment="1">
      <alignment vertical="top" wrapText="1"/>
    </xf>
    <xf numFmtId="0" fontId="21" fillId="2" borderId="0" xfId="0" applyFont="1" applyFill="1" applyAlignment="1">
      <alignment horizontal="left" vertical="center" wrapText="1"/>
    </xf>
    <xf numFmtId="164" fontId="19" fillId="2" borderId="0" xfId="0" applyNumberFormat="1" applyFont="1" applyFill="1" applyAlignment="1">
      <alignment vertical="top" wrapText="1"/>
    </xf>
    <xf numFmtId="0" fontId="19" fillId="2" borderId="0" xfId="0" applyFont="1" applyFill="1" applyAlignment="1">
      <alignment vertical="top"/>
    </xf>
    <xf numFmtId="164" fontId="19" fillId="2" borderId="0" xfId="0" applyNumberFormat="1" applyFont="1" applyFill="1" applyAlignment="1">
      <alignment vertical="top"/>
    </xf>
    <xf numFmtId="0" fontId="18" fillId="2" borderId="16" xfId="0" applyFont="1" applyFill="1" applyBorder="1" applyAlignment="1">
      <alignment vertical="top"/>
    </xf>
    <xf numFmtId="0" fontId="18" fillId="2" borderId="17" xfId="0" applyFont="1" applyFill="1" applyBorder="1" applyAlignment="1">
      <alignment horizontal="center"/>
    </xf>
    <xf numFmtId="0" fontId="19" fillId="2" borderId="18" xfId="0" applyFont="1" applyFill="1" applyBorder="1" applyAlignment="1">
      <alignment horizontal="center" vertical="top"/>
    </xf>
    <xf numFmtId="0" fontId="20" fillId="3" borderId="18" xfId="0" applyFont="1" applyFill="1" applyBorder="1" applyAlignment="1">
      <alignment horizontal="left" vertical="top"/>
    </xf>
    <xf numFmtId="0" fontId="19" fillId="2" borderId="18" xfId="0" applyFont="1" applyFill="1" applyBorder="1" applyAlignment="1">
      <alignment vertical="top" wrapText="1"/>
    </xf>
    <xf numFmtId="0" fontId="21" fillId="2" borderId="18" xfId="0" applyFont="1" applyFill="1" applyBorder="1" applyAlignment="1">
      <alignment horizontal="left" vertical="center" wrapText="1"/>
    </xf>
    <xf numFmtId="164" fontId="19" fillId="2" borderId="18" xfId="0" applyNumberFormat="1" applyFont="1" applyFill="1" applyBorder="1" applyAlignment="1">
      <alignment vertical="top" wrapText="1"/>
    </xf>
    <xf numFmtId="0" fontId="19" fillId="2" borderId="18" xfId="0" applyFont="1" applyFill="1" applyBorder="1" applyAlignment="1">
      <alignment vertical="top"/>
    </xf>
    <xf numFmtId="0" fontId="18" fillId="2" borderId="19" xfId="0" applyFont="1" applyFill="1" applyBorder="1" applyAlignment="1">
      <alignment vertical="top"/>
    </xf>
    <xf numFmtId="0" fontId="22" fillId="0" borderId="0" xfId="0" applyFont="1"/>
    <xf numFmtId="0" fontId="21" fillId="0" borderId="12" xfId="0" applyFont="1" applyBorder="1" applyAlignment="1">
      <alignment horizontal="left" wrapText="1"/>
    </xf>
    <xf numFmtId="164" fontId="3" fillId="2" borderId="9" xfId="0" applyNumberFormat="1" applyFont="1" applyFill="1" applyBorder="1" applyAlignment="1">
      <alignment horizontal="center" vertical="center" wrapText="1"/>
    </xf>
    <xf numFmtId="164" fontId="3" fillId="2" borderId="10" xfId="0" applyNumberFormat="1" applyFont="1" applyFill="1" applyBorder="1" applyAlignment="1">
      <alignment vertical="center"/>
    </xf>
    <xf numFmtId="0" fontId="23" fillId="2" borderId="0" xfId="0" applyFont="1" applyFill="1" applyAlignment="1">
      <alignment vertical="top"/>
    </xf>
    <xf numFmtId="0" fontId="22" fillId="2" borderId="0" xfId="0" applyFont="1" applyFill="1"/>
    <xf numFmtId="0" fontId="21" fillId="0" borderId="12" xfId="0" applyFont="1" applyBorder="1" applyAlignment="1">
      <alignment horizontal="left" vertical="center" wrapText="1"/>
    </xf>
    <xf numFmtId="0" fontId="24" fillId="2" borderId="18" xfId="0" applyFont="1" applyFill="1" applyBorder="1" applyAlignment="1">
      <alignment horizontal="left"/>
    </xf>
    <xf numFmtId="0" fontId="24" fillId="2" borderId="0" xfId="0" applyFont="1" applyFill="1" applyAlignment="1">
      <alignment horizontal="left"/>
    </xf>
    <xf numFmtId="0" fontId="16" fillId="2" borderId="0" xfId="0" applyFont="1" applyFill="1" applyAlignment="1">
      <alignment vertical="top"/>
    </xf>
    <xf numFmtId="0" fontId="16" fillId="2" borderId="20" xfId="0" applyFont="1" applyFill="1" applyBorder="1" applyAlignment="1">
      <alignment horizontal="center"/>
    </xf>
    <xf numFmtId="0" fontId="15" fillId="2" borderId="12" xfId="0" applyFont="1" applyFill="1" applyBorder="1" applyAlignment="1">
      <alignment horizontal="center" vertical="top"/>
    </xf>
    <xf numFmtId="0" fontId="12" fillId="2" borderId="12" xfId="0" applyFont="1" applyFill="1" applyBorder="1" applyAlignment="1">
      <alignment horizontal="left" vertical="top"/>
    </xf>
    <xf numFmtId="0" fontId="15" fillId="2" borderId="12" xfId="0" applyFont="1" applyFill="1" applyBorder="1" applyAlignment="1">
      <alignment vertical="top" wrapText="1"/>
    </xf>
    <xf numFmtId="0" fontId="17" fillId="2" borderId="12" xfId="0" applyFont="1" applyFill="1" applyBorder="1" applyAlignment="1">
      <alignment horizontal="left" vertical="center" wrapText="1"/>
    </xf>
    <xf numFmtId="164" fontId="15" fillId="2" borderId="12" xfId="0" applyNumberFormat="1" applyFont="1" applyFill="1" applyBorder="1" applyAlignment="1">
      <alignment vertical="top" wrapText="1"/>
    </xf>
    <xf numFmtId="0" fontId="15" fillId="2" borderId="12" xfId="0" applyFont="1" applyFill="1" applyBorder="1" applyAlignment="1">
      <alignment vertical="top"/>
    </xf>
    <xf numFmtId="164" fontId="15" fillId="2" borderId="12" xfId="0" applyNumberFormat="1" applyFont="1" applyFill="1" applyBorder="1" applyAlignment="1">
      <alignment vertical="top"/>
    </xf>
    <xf numFmtId="0" fontId="16" fillId="2" borderId="14" xfId="0" applyFont="1" applyFill="1" applyBorder="1" applyAlignment="1">
      <alignment vertical="top"/>
    </xf>
    <xf numFmtId="0" fontId="16" fillId="2" borderId="17" xfId="0" applyFont="1" applyFill="1" applyBorder="1" applyAlignment="1">
      <alignment horizontal="center"/>
    </xf>
    <xf numFmtId="0" fontId="15" fillId="2" borderId="18" xfId="0" applyFont="1" applyFill="1" applyBorder="1" applyAlignment="1">
      <alignment horizontal="center"/>
    </xf>
    <xf numFmtId="0" fontId="15" fillId="2" borderId="18" xfId="0" applyFont="1" applyFill="1" applyBorder="1"/>
    <xf numFmtId="164" fontId="15" fillId="2" borderId="18" xfId="0" applyNumberFormat="1" applyFont="1" applyFill="1" applyBorder="1"/>
    <xf numFmtId="0" fontId="15" fillId="2" borderId="18" xfId="0" applyFont="1" applyFill="1" applyBorder="1" applyAlignment="1">
      <alignment vertical="top"/>
    </xf>
    <xf numFmtId="0" fontId="16" fillId="2" borderId="19" xfId="0" applyFont="1" applyFill="1" applyBorder="1"/>
    <xf numFmtId="0" fontId="7" fillId="2" borderId="18" xfId="0" applyFont="1" applyFill="1" applyBorder="1" applyAlignment="1">
      <alignment horizontal="left"/>
    </xf>
    <xf numFmtId="0" fontId="7" fillId="2" borderId="18" xfId="0" applyFont="1" applyFill="1" applyBorder="1"/>
    <xf numFmtId="0" fontId="7" fillId="2" borderId="18" xfId="0" applyFont="1" applyFill="1" applyBorder="1" applyAlignment="1">
      <alignment horizontal="right"/>
    </xf>
    <xf numFmtId="164" fontId="7" fillId="2" borderId="18" xfId="0" applyNumberFormat="1" applyFont="1" applyFill="1" applyBorder="1"/>
    <xf numFmtId="0" fontId="15" fillId="2" borderId="0" xfId="0" applyFont="1" applyFill="1" applyAlignment="1">
      <alignment horizontal="left"/>
    </xf>
    <xf numFmtId="164" fontId="15" fillId="2" borderId="0" xfId="0" applyNumberFormat="1" applyFont="1" applyFill="1"/>
    <xf numFmtId="0" fontId="5" fillId="2" borderId="0" xfId="0" applyFont="1" applyFill="1"/>
    <xf numFmtId="0" fontId="5" fillId="2" borderId="0" xfId="0" applyFont="1" applyFill="1" applyAlignment="1">
      <alignment horizontal="left"/>
    </xf>
    <xf numFmtId="0" fontId="5" fillId="2" borderId="0" xfId="0" applyFont="1" applyFill="1" applyAlignment="1">
      <alignment horizontal="center"/>
    </xf>
    <xf numFmtId="164" fontId="5" fillId="2" borderId="0" xfId="0" applyNumberFormat="1" applyFont="1" applyFill="1"/>
    <xf numFmtId="0" fontId="5" fillId="0" borderId="0" xfId="0" applyFont="1"/>
    <xf numFmtId="0" fontId="5" fillId="2" borderId="0" xfId="0" applyFont="1" applyFill="1" applyAlignment="1">
      <alignment horizontal="left"/>
    </xf>
    <xf numFmtId="0" fontId="5" fillId="2" borderId="0" xfId="0" applyFont="1" applyFill="1" applyAlignment="1">
      <alignment horizontal="left" wrapText="1"/>
    </xf>
    <xf numFmtId="0" fontId="11" fillId="2" borderId="0" xfId="0" applyFont="1" applyFill="1" applyAlignment="1">
      <alignment horizontal="center"/>
    </xf>
    <xf numFmtId="164" fontId="12" fillId="2" borderId="0" xfId="0" applyNumberFormat="1" applyFont="1" applyFill="1"/>
    <xf numFmtId="0" fontId="26" fillId="4" borderId="0" xfId="0" applyFont="1" applyFill="1"/>
    <xf numFmtId="164" fontId="12" fillId="2" borderId="21" xfId="0" applyNumberFormat="1" applyFont="1" applyFill="1" applyBorder="1"/>
    <xf numFmtId="0" fontId="12" fillId="2" borderId="0" xfId="0" applyFont="1" applyFill="1" applyAlignment="1">
      <alignment horizontal="left"/>
    </xf>
    <xf numFmtId="0" fontId="4" fillId="2" borderId="0" xfId="0" applyFont="1" applyFill="1" applyAlignment="1">
      <alignment horizontal="left"/>
    </xf>
    <xf numFmtId="0" fontId="5" fillId="2" borderId="0" xfId="0" applyFont="1" applyFill="1" applyAlignment="1">
      <alignment horizontal="left" vertical="top" wrapText="1"/>
    </xf>
    <xf numFmtId="0" fontId="24" fillId="2" borderId="0" xfId="0" applyFont="1" applyFill="1" applyAlignment="1">
      <alignment horizontal="left"/>
    </xf>
    <xf numFmtId="0" fontId="24" fillId="2" borderId="0" xfId="0" applyFont="1" applyFill="1"/>
    <xf numFmtId="0" fontId="29" fillId="2" borderId="0" xfId="0" applyFont="1" applyFill="1" applyAlignment="1">
      <alignment horizontal="left" wrapText="1"/>
    </xf>
    <xf numFmtId="0" fontId="15" fillId="2" borderId="0" xfId="0" applyFont="1" applyFill="1" applyAlignment="1">
      <alignment vertical="center" wrapText="1"/>
    </xf>
    <xf numFmtId="0" fontId="15" fillId="0" borderId="0" xfId="0" applyFont="1" applyAlignment="1">
      <alignment horizontal="left"/>
    </xf>
    <xf numFmtId="0" fontId="15" fillId="2" borderId="0" xfId="0" applyFont="1" applyFill="1" applyAlignment="1">
      <alignment horizontal="left" wrapText="1"/>
    </xf>
    <xf numFmtId="0" fontId="15" fillId="2" borderId="0" xfId="0" applyFont="1" applyFill="1" applyAlignment="1">
      <alignment horizontal="left" vertical="center" wrapText="1"/>
    </xf>
    <xf numFmtId="0" fontId="15" fillId="2" borderId="0" xfId="0" applyFont="1" applyFill="1" applyAlignment="1">
      <alignment horizontal="left" vertical="center" wrapText="1"/>
    </xf>
    <xf numFmtId="0" fontId="15" fillId="2" borderId="0" xfId="0" applyFont="1" applyFill="1" applyAlignment="1">
      <alignment vertical="center" wrapText="1"/>
    </xf>
    <xf numFmtId="0" fontId="15" fillId="2" borderId="0" xfId="0" applyFont="1" applyFill="1" applyAlignment="1">
      <alignment horizontal="left" wrapText="1"/>
    </xf>
    <xf numFmtId="0" fontId="16" fillId="2" borderId="0" xfId="0" applyFont="1" applyFill="1" applyAlignment="1">
      <alignment horizontal="center" wrapText="1"/>
    </xf>
    <xf numFmtId="0" fontId="24" fillId="2" borderId="0" xfId="0" applyFont="1" applyFill="1" applyAlignment="1">
      <alignment horizontal="left" wrapText="1"/>
    </xf>
    <xf numFmtId="0" fontId="24" fillId="2" borderId="0" xfId="0" applyFont="1" applyFill="1" applyAlignment="1">
      <alignment horizontal="center" wrapText="1"/>
    </xf>
    <xf numFmtId="0" fontId="15" fillId="2" borderId="7" xfId="0" applyFont="1" applyFill="1" applyBorder="1" applyAlignment="1">
      <alignment horizontal="left" vertical="center" wrapText="1"/>
    </xf>
    <xf numFmtId="0" fontId="15" fillId="2" borderId="22" xfId="0" applyFont="1" applyFill="1" applyBorder="1" applyAlignment="1">
      <alignment horizontal="left" vertical="center" wrapText="1"/>
    </xf>
    <xf numFmtId="0" fontId="15" fillId="2" borderId="23" xfId="0" applyFont="1" applyFill="1" applyBorder="1" applyAlignment="1">
      <alignment horizontal="left" vertical="center" wrapText="1"/>
    </xf>
    <xf numFmtId="0" fontId="15" fillId="2" borderId="24" xfId="0" applyFont="1" applyFill="1" applyBorder="1" applyAlignment="1">
      <alignment horizontal="left" vertical="center" wrapText="1"/>
    </xf>
    <xf numFmtId="0" fontId="15" fillId="2" borderId="7" xfId="0" applyFont="1" applyFill="1" applyBorder="1" applyAlignment="1">
      <alignment horizontal="center" wrapText="1"/>
    </xf>
    <xf numFmtId="164" fontId="15" fillId="2" borderId="0" xfId="0" applyNumberFormat="1" applyFont="1" applyFill="1" applyAlignment="1">
      <alignment horizontal="left" vertical="center" wrapText="1"/>
    </xf>
    <xf numFmtId="164" fontId="15"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0" fontId="25" fillId="2" borderId="0" xfId="0" applyFont="1" applyFill="1" applyAlignment="1">
      <alignment horizontal="left"/>
    </xf>
    <xf numFmtId="0" fontId="12" fillId="2" borderId="0" xfId="0" applyFont="1" applyFill="1" applyAlignment="1">
      <alignment horizontal="left"/>
    </xf>
    <xf numFmtId="0" fontId="30" fillId="2" borderId="0" xfId="0" applyFont="1" applyFill="1" applyAlignment="1">
      <alignment horizontal="center"/>
    </xf>
    <xf numFmtId="0" fontId="5" fillId="2" borderId="1" xfId="0" applyFont="1" applyFill="1" applyBorder="1" applyAlignment="1">
      <alignment horizontal="left"/>
    </xf>
    <xf numFmtId="0" fontId="0" fillId="2"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gif"/><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451662</xdr:colOff>
      <xdr:row>0</xdr:row>
      <xdr:rowOff>0</xdr:rowOff>
    </xdr:from>
    <xdr:to>
      <xdr:col>10</xdr:col>
      <xdr:colOff>1003300</xdr:colOff>
      <xdr:row>9</xdr:row>
      <xdr:rowOff>955152</xdr:rowOff>
    </xdr:to>
    <xdr:pic>
      <xdr:nvPicPr>
        <xdr:cNvPr id="2" name="Picture 1">
          <a:extLst>
            <a:ext uri="{FF2B5EF4-FFF2-40B4-BE49-F238E27FC236}">
              <a16:creationId xmlns:a16="http://schemas.microsoft.com/office/drawing/2014/main" id="{4E6F262E-F631-FB4C-B892-432F6EF9BC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25262" y="0"/>
          <a:ext cx="6533338" cy="3711052"/>
        </a:xfrm>
        <a:prstGeom prst="rect">
          <a:avLst/>
        </a:prstGeom>
      </xdr:spPr>
    </xdr:pic>
    <xdr:clientData/>
  </xdr:twoCellAnchor>
  <xdr:twoCellAnchor editAs="oneCell">
    <xdr:from>
      <xdr:col>4</xdr:col>
      <xdr:colOff>613644</xdr:colOff>
      <xdr:row>93</xdr:row>
      <xdr:rowOff>33320</xdr:rowOff>
    </xdr:from>
    <xdr:to>
      <xdr:col>10</xdr:col>
      <xdr:colOff>1143000</xdr:colOff>
      <xdr:row>103</xdr:row>
      <xdr:rowOff>283838</xdr:rowOff>
    </xdr:to>
    <xdr:pic>
      <xdr:nvPicPr>
        <xdr:cNvPr id="3" name="Picture 2" descr="Image result for dental chart tooth numbers">
          <a:extLst>
            <a:ext uri="{FF2B5EF4-FFF2-40B4-BE49-F238E27FC236}">
              <a16:creationId xmlns:a16="http://schemas.microsoft.com/office/drawing/2014/main" id="{C7B1742F-5155-9A43-8C2F-9428335F28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87244" y="34450320"/>
          <a:ext cx="6511056" cy="32985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917609</xdr:colOff>
      <xdr:row>178</xdr:row>
      <xdr:rowOff>117055</xdr:rowOff>
    </xdr:from>
    <xdr:to>
      <xdr:col>12</xdr:col>
      <xdr:colOff>478914</xdr:colOff>
      <xdr:row>182</xdr:row>
      <xdr:rowOff>496798</xdr:rowOff>
    </xdr:to>
    <xdr:pic>
      <xdr:nvPicPr>
        <xdr:cNvPr id="4" name="Picture 3">
          <a:extLst>
            <a:ext uri="{FF2B5EF4-FFF2-40B4-BE49-F238E27FC236}">
              <a16:creationId xmlns:a16="http://schemas.microsoft.com/office/drawing/2014/main" id="{977F0D6C-66B8-1344-BB79-C9D2CA1ED50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53509" y="84991155"/>
          <a:ext cx="5619205" cy="33769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GrowSSeditMaster%202026%20-%20DSD%20Estimates%20Template.xlsx%20Tsitsi%20edit%20-%20Copy%20(1).xlsx" TargetMode="External"/><Relationship Id="rId2" Type="http://schemas.openxmlformats.org/officeDocument/2006/relationships/externalLinkPath" Target="/Users/emilfabel/Downloads/GrowSSeditMaster%202026%20-%20DSD%20Estimates%20Template.xlsx%20Tsitsi%20edit%20-%20Copy%20(1).xlsx" TargetMode="External"/><Relationship Id="rId1" Type="http://schemas.openxmlformats.org/officeDocument/2006/relationships/externalLinkPath" Target="/Users/emilfabel/Downloads/GrowSSeditMaster%202026%20-%20DSD%20Estimates%20Template.xlsx%20Tsitsi%20edit%20-%20Copy%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ull Estimate"/>
      <sheetName val="Records"/>
      <sheetName val="Whitening"/>
      <sheetName val="CBCT"/>
      <sheetName val="Inj Bonding 16"/>
      <sheetName val="Lookup Items"/>
      <sheetName val="Aesthetic pricing"/>
      <sheetName val="Pricing 2019"/>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F9DB4-556A-054E-8EC3-51A91E56018E}">
  <sheetPr>
    <pageSetUpPr fitToPage="1"/>
  </sheetPr>
  <dimension ref="B1:T178"/>
  <sheetViews>
    <sheetView tabSelected="1" zoomScale="75" zoomScaleNormal="75" workbookViewId="0">
      <selection activeCell="E113" sqref="E113"/>
    </sheetView>
  </sheetViews>
  <sheetFormatPr baseColWidth="10" defaultColWidth="10.6640625" defaultRowHeight="59.75" customHeight="1" x14ac:dyDescent="0.2"/>
  <cols>
    <col min="1" max="1" width="8" customWidth="1"/>
    <col min="2" max="2" width="10.6640625" style="5" customWidth="1"/>
    <col min="3" max="3" width="27.1640625" style="161" customWidth="1"/>
    <col min="4" max="6" width="15.5" style="5" customWidth="1"/>
    <col min="7" max="7" width="10.5" style="5" customWidth="1"/>
    <col min="8" max="9" width="13.1640625" style="5" customWidth="1"/>
    <col min="10" max="10" width="10.6640625" style="3" customWidth="1"/>
    <col min="11" max="11" width="16" style="5" customWidth="1"/>
    <col min="12" max="12" width="26.5" style="3" customWidth="1"/>
    <col min="13" max="13" width="20.83203125" style="3" customWidth="1"/>
    <col min="14" max="14" width="16.5" style="3" customWidth="1"/>
  </cols>
  <sheetData>
    <row r="1" spans="2:17" ht="24" customHeight="1" x14ac:dyDescent="0.2">
      <c r="B1" s="1"/>
      <c r="C1" s="2"/>
      <c r="D1" s="2"/>
      <c r="E1" s="2"/>
      <c r="F1" s="2"/>
      <c r="G1" s="2"/>
      <c r="H1" s="2"/>
      <c r="I1" s="2"/>
      <c r="J1" s="2"/>
      <c r="K1" s="2"/>
      <c r="L1" s="2"/>
    </row>
    <row r="2" spans="2:17" ht="24" customHeight="1" x14ac:dyDescent="0.3">
      <c r="B2" s="4"/>
      <c r="C2" s="2"/>
      <c r="D2" s="2"/>
      <c r="E2" s="2"/>
      <c r="F2" s="2"/>
      <c r="G2" s="2"/>
      <c r="H2" s="2"/>
      <c r="I2" s="2"/>
      <c r="J2" s="2"/>
      <c r="K2" s="2"/>
      <c r="L2" s="2"/>
    </row>
    <row r="3" spans="2:17" ht="24" customHeight="1" x14ac:dyDescent="0.2">
      <c r="C3" s="2"/>
      <c r="D3" s="2"/>
      <c r="E3" s="2"/>
      <c r="F3" s="2"/>
      <c r="G3" s="2"/>
      <c r="H3" s="2"/>
      <c r="I3" s="2"/>
      <c r="J3" s="2"/>
      <c r="K3" s="2"/>
      <c r="L3" s="2"/>
    </row>
    <row r="4" spans="2:17" s="8" customFormat="1" ht="24" customHeight="1" x14ac:dyDescent="0.25">
      <c r="B4" s="6"/>
      <c r="C4" s="2"/>
      <c r="D4" s="2"/>
      <c r="E4" s="2"/>
      <c r="F4" s="2"/>
      <c r="G4" s="2"/>
      <c r="H4" s="2"/>
      <c r="I4" s="2"/>
      <c r="J4" s="2"/>
      <c r="K4" s="2"/>
      <c r="L4" s="2"/>
      <c r="M4" s="7"/>
      <c r="N4" s="7"/>
    </row>
    <row r="5" spans="2:17" ht="25.25" customHeight="1" x14ac:dyDescent="0.2">
      <c r="C5" s="2"/>
      <c r="D5" s="2"/>
      <c r="E5" s="2"/>
      <c r="F5" s="2"/>
      <c r="G5" s="2"/>
      <c r="H5" s="2"/>
      <c r="I5" s="2"/>
      <c r="J5" s="2"/>
      <c r="K5" s="2"/>
      <c r="L5" s="2"/>
    </row>
    <row r="6" spans="2:17" ht="24" customHeight="1" x14ac:dyDescent="0.2">
      <c r="C6" s="2"/>
      <c r="D6" s="2"/>
      <c r="E6" s="2"/>
      <c r="F6" s="2"/>
      <c r="G6" s="2"/>
      <c r="H6" s="2"/>
      <c r="I6" s="2"/>
      <c r="J6" s="2"/>
      <c r="K6" s="2"/>
      <c r="L6" s="2"/>
    </row>
    <row r="7" spans="2:17" ht="24" customHeight="1" x14ac:dyDescent="0.2">
      <c r="C7" s="2"/>
      <c r="D7" s="2"/>
      <c r="E7" s="2"/>
      <c r="F7" s="2"/>
      <c r="G7" s="2"/>
      <c r="H7" s="2"/>
      <c r="I7" s="2"/>
      <c r="J7" s="2"/>
      <c r="K7" s="2"/>
      <c r="L7" s="2"/>
    </row>
    <row r="8" spans="2:17" ht="24" customHeight="1" x14ac:dyDescent="0.2">
      <c r="C8" s="9"/>
      <c r="D8" s="9"/>
      <c r="E8" s="9"/>
      <c r="F8" s="9"/>
      <c r="G8" s="9"/>
      <c r="H8" s="9"/>
      <c r="I8" s="9"/>
      <c r="J8" s="9"/>
      <c r="K8" s="9"/>
      <c r="L8" s="9"/>
      <c r="M8" s="9"/>
      <c r="N8" s="9"/>
      <c r="O8" s="10"/>
      <c r="P8" s="10"/>
      <c r="Q8" s="10"/>
    </row>
    <row r="9" spans="2:17" ht="24" customHeight="1" x14ac:dyDescent="0.2">
      <c r="C9" s="9"/>
      <c r="D9" s="9"/>
      <c r="E9" s="9"/>
      <c r="F9" s="9"/>
      <c r="G9" s="9"/>
      <c r="H9" s="9"/>
      <c r="I9" s="9"/>
      <c r="J9" s="9"/>
      <c r="K9" s="9"/>
      <c r="L9" s="9"/>
      <c r="M9" s="9"/>
      <c r="N9" s="9"/>
      <c r="O9" s="10"/>
      <c r="P9" s="10"/>
      <c r="Q9" s="10"/>
    </row>
    <row r="10" spans="2:17" ht="106.25" customHeight="1" x14ac:dyDescent="0.3">
      <c r="C10" s="11" t="s">
        <v>0</v>
      </c>
      <c r="D10" s="11"/>
      <c r="E10" s="11"/>
      <c r="F10" s="11"/>
      <c r="G10" s="11"/>
      <c r="H10" s="11"/>
      <c r="I10" s="11"/>
      <c r="J10" s="11"/>
      <c r="K10" s="11"/>
      <c r="L10" s="11"/>
      <c r="M10" s="11"/>
      <c r="N10" s="12"/>
      <c r="O10" s="13"/>
      <c r="P10" s="13"/>
      <c r="Q10" s="13"/>
    </row>
    <row r="11" spans="2:17" ht="24" customHeight="1" x14ac:dyDescent="0.2">
      <c r="C11" s="14" t="s">
        <v>1</v>
      </c>
      <c r="D11" s="14"/>
      <c r="E11" s="14"/>
      <c r="F11" s="14"/>
      <c r="G11" s="14"/>
      <c r="H11" s="14"/>
      <c r="I11" s="14"/>
      <c r="J11" s="14"/>
      <c r="K11" s="14"/>
      <c r="L11" s="14"/>
      <c r="M11" s="14"/>
      <c r="N11" s="9"/>
      <c r="O11" s="10"/>
      <c r="P11" s="10"/>
      <c r="Q11" s="10"/>
    </row>
    <row r="12" spans="2:17" ht="24" customHeight="1" x14ac:dyDescent="0.2">
      <c r="C12" s="14" t="s">
        <v>2</v>
      </c>
      <c r="D12" s="14"/>
      <c r="E12" s="14"/>
      <c r="F12" s="14"/>
      <c r="G12" s="14"/>
      <c r="H12" s="14"/>
      <c r="I12" s="14"/>
      <c r="J12" s="14"/>
      <c r="K12" s="14"/>
      <c r="L12" s="14"/>
      <c r="M12" s="14"/>
      <c r="N12" s="9"/>
      <c r="O12" s="10"/>
      <c r="P12" s="10"/>
      <c r="Q12" s="10"/>
    </row>
    <row r="13" spans="2:17" ht="24" customHeight="1" x14ac:dyDescent="0.2">
      <c r="C13" s="14" t="s">
        <v>3</v>
      </c>
      <c r="D13" s="14"/>
      <c r="E13" s="14"/>
      <c r="F13" s="14"/>
      <c r="G13" s="14"/>
      <c r="H13" s="14"/>
      <c r="I13" s="14"/>
      <c r="J13" s="14"/>
      <c r="K13" s="14"/>
      <c r="L13" s="14"/>
      <c r="M13" s="14"/>
      <c r="N13" s="9"/>
      <c r="O13" s="10"/>
      <c r="P13" s="10"/>
      <c r="Q13" s="10"/>
    </row>
    <row r="14" spans="2:17" ht="23" customHeight="1" x14ac:dyDescent="0.2">
      <c r="C14" s="14" t="s">
        <v>4</v>
      </c>
      <c r="D14" s="14"/>
      <c r="E14" s="14"/>
      <c r="F14" s="14"/>
      <c r="G14" s="14"/>
      <c r="H14" s="14"/>
      <c r="I14" s="14"/>
      <c r="J14" s="14"/>
      <c r="K14" s="14"/>
      <c r="L14" s="14"/>
      <c r="M14" s="14"/>
      <c r="N14" s="9"/>
      <c r="O14" s="10"/>
      <c r="P14" s="10"/>
      <c r="Q14" s="10"/>
    </row>
    <row r="15" spans="2:17" s="19" customFormat="1" ht="24" customHeight="1" x14ac:dyDescent="0.35">
      <c r="B15" s="15"/>
      <c r="C15" s="16"/>
      <c r="D15" s="17"/>
      <c r="E15" s="17"/>
      <c r="F15" s="17"/>
      <c r="G15" s="17"/>
      <c r="H15" s="17"/>
      <c r="I15" s="17"/>
      <c r="J15" s="17"/>
      <c r="K15" s="17"/>
      <c r="L15" s="17"/>
      <c r="M15" s="16"/>
      <c r="N15" s="16"/>
      <c r="O15" s="18"/>
      <c r="P15" s="18"/>
      <c r="Q15" s="18"/>
    </row>
    <row r="16" spans="2:17" s="19" customFormat="1" ht="24" customHeight="1" x14ac:dyDescent="0.35">
      <c r="B16" s="15"/>
      <c r="C16" s="16"/>
      <c r="D16" s="16"/>
      <c r="E16" s="16"/>
      <c r="F16" s="16"/>
      <c r="G16" s="16"/>
      <c r="H16" s="16"/>
      <c r="I16" s="16"/>
      <c r="J16" s="16"/>
      <c r="K16" s="16"/>
      <c r="L16" s="16"/>
      <c r="M16" s="16"/>
      <c r="N16" s="16"/>
      <c r="O16" s="18"/>
      <c r="P16" s="18"/>
      <c r="Q16" s="18"/>
    </row>
    <row r="17" spans="2:17" s="19" customFormat="1" ht="38" customHeight="1" x14ac:dyDescent="0.35">
      <c r="B17" s="16" t="s">
        <v>5</v>
      </c>
      <c r="C17" s="18"/>
      <c r="D17" s="20"/>
      <c r="E17" s="20"/>
      <c r="F17" s="16"/>
      <c r="G17" s="16"/>
      <c r="H17" s="16"/>
      <c r="I17" s="16"/>
      <c r="J17" s="16"/>
      <c r="K17" s="16" t="s">
        <v>6</v>
      </c>
      <c r="L17" s="21"/>
      <c r="M17" s="22"/>
      <c r="N17" s="22"/>
      <c r="O17" s="18"/>
      <c r="P17" s="18"/>
      <c r="Q17" s="18"/>
    </row>
    <row r="18" spans="2:17" s="19" customFormat="1" ht="25.25" customHeight="1" x14ac:dyDescent="0.35">
      <c r="B18" s="15"/>
      <c r="C18" s="16"/>
      <c r="D18" s="16"/>
      <c r="E18" s="16"/>
      <c r="F18" s="16"/>
      <c r="G18" s="16"/>
      <c r="H18" s="16"/>
      <c r="I18" s="16"/>
      <c r="J18" s="16"/>
      <c r="K18" s="16"/>
      <c r="L18" s="16"/>
      <c r="M18" s="16"/>
      <c r="N18" s="16"/>
      <c r="O18" s="18"/>
      <c r="P18" s="18"/>
      <c r="Q18" s="18"/>
    </row>
    <row r="19" spans="2:17" s="19" customFormat="1" ht="24" customHeight="1" x14ac:dyDescent="0.35">
      <c r="B19" s="15"/>
      <c r="C19" s="16"/>
      <c r="D19" s="16"/>
      <c r="E19" s="16"/>
      <c r="F19" s="16"/>
      <c r="G19" s="16"/>
      <c r="H19" s="16"/>
      <c r="I19" s="16"/>
      <c r="J19" s="16"/>
      <c r="K19" s="16"/>
      <c r="L19" s="16"/>
      <c r="M19" s="16"/>
      <c r="N19" s="16"/>
      <c r="O19" s="18"/>
      <c r="P19" s="18"/>
      <c r="Q19" s="18"/>
    </row>
    <row r="20" spans="2:17" s="19" customFormat="1" ht="23" customHeight="1" x14ac:dyDescent="0.35">
      <c r="B20" s="23" t="s">
        <v>7</v>
      </c>
      <c r="C20" s="23"/>
      <c r="D20" s="23"/>
      <c r="E20" s="23"/>
      <c r="F20" s="23"/>
      <c r="G20" s="23"/>
      <c r="H20" s="23"/>
      <c r="I20" s="23"/>
      <c r="J20" s="23"/>
      <c r="K20" s="23"/>
      <c r="L20" s="23"/>
      <c r="M20" s="23"/>
      <c r="N20" s="23"/>
      <c r="O20" s="18"/>
      <c r="P20" s="18"/>
      <c r="Q20" s="18"/>
    </row>
    <row r="21" spans="2:17" s="19" customFormat="1" ht="68" customHeight="1" x14ac:dyDescent="0.35">
      <c r="B21" s="23"/>
      <c r="C21" s="23"/>
      <c r="D21" s="23"/>
      <c r="E21" s="23"/>
      <c r="F21" s="23"/>
      <c r="G21" s="23"/>
      <c r="H21" s="23"/>
      <c r="I21" s="23"/>
      <c r="J21" s="23"/>
      <c r="K21" s="23"/>
      <c r="L21" s="23"/>
      <c r="M21" s="23"/>
      <c r="N21" s="23"/>
      <c r="O21" s="18"/>
      <c r="P21" s="18"/>
      <c r="Q21" s="18"/>
    </row>
    <row r="22" spans="2:17" s="19" customFormat="1" ht="24" customHeight="1" x14ac:dyDescent="0.35">
      <c r="B22" s="15"/>
      <c r="C22" s="20"/>
      <c r="D22" s="20"/>
      <c r="E22" s="20"/>
      <c r="F22" s="20"/>
      <c r="G22" s="20"/>
      <c r="H22" s="20"/>
      <c r="I22" s="20"/>
      <c r="J22" s="20"/>
      <c r="K22" s="20"/>
      <c r="L22" s="20"/>
      <c r="M22" s="20"/>
      <c r="N22" s="24"/>
    </row>
    <row r="23" spans="2:17" s="19" customFormat="1" ht="24" customHeight="1" x14ac:dyDescent="0.35">
      <c r="B23" s="25" t="s">
        <v>8</v>
      </c>
      <c r="C23" s="25"/>
      <c r="D23" s="25"/>
      <c r="E23" s="25"/>
      <c r="F23" s="25"/>
      <c r="G23" s="25"/>
      <c r="H23" s="25"/>
      <c r="I23" s="25"/>
      <c r="J23" s="25"/>
      <c r="K23" s="25"/>
      <c r="L23" s="25"/>
      <c r="M23" s="25"/>
      <c r="N23" s="25"/>
    </row>
    <row r="24" spans="2:17" s="19" customFormat="1" ht="75" customHeight="1" x14ac:dyDescent="0.35">
      <c r="B24" s="25"/>
      <c r="C24" s="25"/>
      <c r="D24" s="25"/>
      <c r="E24" s="25"/>
      <c r="F24" s="25"/>
      <c r="G24" s="25"/>
      <c r="H24" s="25"/>
      <c r="I24" s="25"/>
      <c r="J24" s="25"/>
      <c r="K24" s="25"/>
      <c r="L24" s="25"/>
      <c r="M24" s="25"/>
      <c r="N24" s="25"/>
    </row>
    <row r="25" spans="2:17" s="19" customFormat="1" ht="24" customHeight="1" x14ac:dyDescent="0.35">
      <c r="B25" s="15"/>
      <c r="C25" s="16"/>
      <c r="D25" s="16"/>
      <c r="E25" s="16"/>
      <c r="F25" s="16"/>
      <c r="G25" s="16"/>
      <c r="H25" s="16"/>
      <c r="I25" s="16"/>
      <c r="J25" s="16"/>
      <c r="K25" s="16"/>
      <c r="L25" s="16"/>
      <c r="M25" s="24"/>
      <c r="N25" s="24"/>
    </row>
    <row r="26" spans="2:17" s="19" customFormat="1" ht="38" customHeight="1" x14ac:dyDescent="0.35">
      <c r="B26" s="26" t="s">
        <v>9</v>
      </c>
      <c r="C26" s="26"/>
      <c r="D26" s="26"/>
      <c r="E26" s="26"/>
      <c r="F26" s="27"/>
      <c r="G26" s="27"/>
      <c r="H26" s="27"/>
      <c r="I26" s="27"/>
      <c r="J26" s="27"/>
      <c r="K26" s="27"/>
      <c r="L26" s="16"/>
      <c r="M26" s="24"/>
      <c r="N26" s="24"/>
    </row>
    <row r="27" spans="2:17" s="19" customFormat="1" ht="23" customHeight="1" x14ac:dyDescent="0.35">
      <c r="B27" s="28"/>
      <c r="C27" s="29"/>
      <c r="D27" s="29"/>
      <c r="E27" s="29"/>
      <c r="F27" s="29"/>
      <c r="G27" s="29"/>
      <c r="H27" s="29"/>
      <c r="I27" s="29"/>
      <c r="J27" s="29"/>
      <c r="K27" s="29"/>
      <c r="L27" s="29"/>
      <c r="M27" s="29"/>
      <c r="N27" s="30"/>
    </row>
    <row r="28" spans="2:17" s="19" customFormat="1" ht="91.25" customHeight="1" x14ac:dyDescent="0.35">
      <c r="B28" s="31"/>
      <c r="C28" s="32"/>
      <c r="D28" s="32"/>
      <c r="E28" s="32"/>
      <c r="F28" s="32"/>
      <c r="G28" s="32"/>
      <c r="H28" s="32"/>
      <c r="I28" s="32"/>
      <c r="J28" s="32"/>
      <c r="K28" s="32"/>
      <c r="L28" s="32"/>
      <c r="M28" s="32"/>
      <c r="N28" s="33"/>
    </row>
    <row r="29" spans="2:17" s="19" customFormat="1" ht="24" customHeight="1" x14ac:dyDescent="0.35">
      <c r="B29" s="34"/>
      <c r="C29" s="34"/>
      <c r="D29" s="34"/>
      <c r="E29" s="34"/>
      <c r="F29" s="34"/>
      <c r="G29" s="34"/>
      <c r="H29" s="34"/>
      <c r="I29" s="34"/>
      <c r="J29" s="34"/>
      <c r="K29" s="34"/>
      <c r="L29" s="34"/>
      <c r="M29" s="34"/>
      <c r="N29" s="34"/>
    </row>
    <row r="30" spans="2:17" s="19" customFormat="1" ht="24" customHeight="1" x14ac:dyDescent="0.35">
      <c r="B30" s="35" t="s">
        <v>10</v>
      </c>
      <c r="C30" s="35"/>
      <c r="D30" s="35"/>
      <c r="E30" s="35"/>
      <c r="F30" s="35" t="s">
        <v>11</v>
      </c>
      <c r="G30" s="35"/>
      <c r="H30" s="35"/>
      <c r="I30" s="35"/>
      <c r="J30" s="35"/>
      <c r="K30" s="36"/>
      <c r="L30" s="35" t="s">
        <v>12</v>
      </c>
      <c r="M30" s="35"/>
      <c r="N30" s="35"/>
    </row>
    <row r="31" spans="2:17" s="19" customFormat="1" ht="24" customHeight="1" x14ac:dyDescent="0.35">
      <c r="B31" s="34"/>
      <c r="C31" s="37" t="s">
        <v>13</v>
      </c>
      <c r="D31" s="37"/>
      <c r="E31" s="38"/>
      <c r="F31" s="37"/>
      <c r="G31" s="37"/>
      <c r="H31" s="37"/>
      <c r="I31" s="37"/>
      <c r="J31" s="37"/>
      <c r="K31" s="37"/>
      <c r="L31" s="37"/>
      <c r="M31" s="37"/>
      <c r="N31" s="37"/>
    </row>
    <row r="32" spans="2:17" s="19" customFormat="1" ht="24" customHeight="1" x14ac:dyDescent="0.35">
      <c r="B32" s="34"/>
      <c r="C32" s="37" t="s">
        <v>14</v>
      </c>
      <c r="D32" s="37"/>
      <c r="E32" s="38"/>
      <c r="F32" s="37"/>
      <c r="G32" s="37"/>
      <c r="H32" s="37"/>
      <c r="I32" s="37"/>
      <c r="J32" s="37"/>
      <c r="K32" s="37"/>
      <c r="L32" s="37"/>
      <c r="M32" s="37"/>
      <c r="N32" s="37"/>
    </row>
    <row r="33" spans="2:20" s="19" customFormat="1" ht="24" customHeight="1" x14ac:dyDescent="0.35">
      <c r="B33" s="34"/>
      <c r="C33" s="37" t="s">
        <v>15</v>
      </c>
      <c r="D33" s="37"/>
      <c r="E33" s="38"/>
      <c r="F33" s="37"/>
      <c r="G33" s="37"/>
      <c r="H33" s="37"/>
      <c r="I33" s="37"/>
      <c r="J33" s="37"/>
      <c r="K33" s="37"/>
      <c r="L33" s="37"/>
      <c r="M33" s="37"/>
      <c r="N33" s="37"/>
    </row>
    <row r="34" spans="2:20" s="19" customFormat="1" ht="24" customHeight="1" x14ac:dyDescent="0.35">
      <c r="B34" s="34"/>
      <c r="C34" s="37" t="s">
        <v>16</v>
      </c>
      <c r="D34" s="37"/>
      <c r="E34" s="38"/>
      <c r="F34" s="37"/>
      <c r="G34" s="37"/>
      <c r="H34" s="37"/>
      <c r="I34" s="37"/>
      <c r="J34" s="37"/>
      <c r="K34" s="37"/>
      <c r="L34" s="37"/>
      <c r="M34" s="37"/>
      <c r="N34" s="37"/>
    </row>
    <row r="35" spans="2:20" s="19" customFormat="1" ht="24" customHeight="1" x14ac:dyDescent="0.35">
      <c r="B35" s="34"/>
      <c r="C35" s="37" t="s">
        <v>17</v>
      </c>
      <c r="D35" s="37"/>
      <c r="E35" s="38"/>
      <c r="F35" s="37"/>
      <c r="G35" s="37"/>
      <c r="H35" s="37"/>
      <c r="I35" s="37"/>
      <c r="J35" s="37"/>
      <c r="K35" s="37"/>
      <c r="L35" s="37"/>
      <c r="M35" s="37"/>
      <c r="N35" s="37"/>
    </row>
    <row r="36" spans="2:20" s="19" customFormat="1" ht="24" customHeight="1" x14ac:dyDescent="0.35">
      <c r="B36" s="34"/>
      <c r="C36" s="37" t="s">
        <v>18</v>
      </c>
      <c r="D36" s="37"/>
      <c r="E36" s="38"/>
      <c r="F36" s="37"/>
      <c r="G36" s="37"/>
      <c r="H36" s="37"/>
      <c r="I36" s="37"/>
      <c r="J36" s="37"/>
      <c r="K36" s="37"/>
      <c r="L36" s="37"/>
      <c r="M36" s="37"/>
      <c r="N36" s="37"/>
    </row>
    <row r="37" spans="2:20" s="19" customFormat="1" ht="24" customHeight="1" x14ac:dyDescent="0.35">
      <c r="B37" s="34"/>
      <c r="C37" s="37" t="s">
        <v>19</v>
      </c>
      <c r="D37" s="37"/>
      <c r="E37" s="38"/>
      <c r="F37" s="37"/>
      <c r="G37" s="37"/>
      <c r="H37" s="37"/>
      <c r="I37" s="37"/>
      <c r="J37" s="37"/>
      <c r="K37" s="37"/>
      <c r="L37" s="37"/>
      <c r="M37" s="37"/>
      <c r="N37" s="37"/>
    </row>
    <row r="38" spans="2:20" s="19" customFormat="1" ht="24" customHeight="1" x14ac:dyDescent="0.35">
      <c r="B38" s="34"/>
      <c r="C38" s="34"/>
      <c r="D38" s="34"/>
      <c r="E38" s="34"/>
      <c r="F38" s="34"/>
      <c r="G38" s="34"/>
      <c r="H38" s="34"/>
      <c r="I38" s="34"/>
      <c r="J38" s="34"/>
      <c r="K38" s="34"/>
      <c r="L38" s="34"/>
      <c r="M38" s="34"/>
      <c r="N38" s="34"/>
    </row>
    <row r="39" spans="2:20" s="19" customFormat="1" ht="40.25" customHeight="1" x14ac:dyDescent="0.35">
      <c r="B39" s="39" t="s">
        <v>20</v>
      </c>
      <c r="C39" s="39"/>
      <c r="D39" s="39"/>
      <c r="E39" s="39"/>
      <c r="F39" s="39"/>
      <c r="G39" s="39"/>
      <c r="H39" s="39"/>
      <c r="I39" s="39"/>
      <c r="J39" s="39"/>
      <c r="K39" s="39"/>
      <c r="L39" s="39"/>
      <c r="M39" s="24"/>
      <c r="N39" s="24"/>
    </row>
    <row r="40" spans="2:20" ht="24" customHeight="1" thickBot="1" x14ac:dyDescent="0.25">
      <c r="C40" s="40"/>
    </row>
    <row r="41" spans="2:20" s="46" customFormat="1" ht="35.25" customHeight="1" thickBot="1" x14ac:dyDescent="0.4">
      <c r="B41" s="41" t="s">
        <v>21</v>
      </c>
      <c r="C41" s="41"/>
      <c r="D41" s="41"/>
      <c r="E41" s="41"/>
      <c r="F41" s="41"/>
      <c r="G41" s="41"/>
      <c r="H41" s="41"/>
      <c r="I41" s="41"/>
      <c r="J41" s="41"/>
      <c r="K41" s="42"/>
      <c r="L41" s="43" t="e">
        <f>M90</f>
        <v>#N/A</v>
      </c>
      <c r="M41" s="44"/>
      <c r="N41" s="45"/>
    </row>
    <row r="42" spans="2:20" s="46" customFormat="1" ht="24" customHeight="1" x14ac:dyDescent="0.3">
      <c r="B42" s="47"/>
      <c r="C42" s="48"/>
      <c r="D42" s="48"/>
      <c r="E42" s="48"/>
      <c r="F42" s="48"/>
      <c r="G42" s="48"/>
      <c r="H42" s="49"/>
      <c r="I42" s="49"/>
      <c r="J42" s="50"/>
      <c r="K42" s="49"/>
      <c r="L42" s="50"/>
      <c r="M42" s="50"/>
      <c r="N42" s="51"/>
    </row>
    <row r="43" spans="2:20" s="46" customFormat="1" ht="27.5" customHeight="1" thickBot="1" x14ac:dyDescent="0.3">
      <c r="B43" s="47"/>
      <c r="C43" s="52"/>
      <c r="D43" s="52"/>
      <c r="E43" s="52"/>
      <c r="F43" s="52"/>
      <c r="G43" s="52"/>
      <c r="H43" s="47"/>
      <c r="I43" s="47"/>
      <c r="J43" s="51"/>
      <c r="K43" s="47"/>
      <c r="L43" s="51"/>
      <c r="M43" s="51"/>
      <c r="N43" s="51"/>
    </row>
    <row r="44" spans="2:20" s="53" customFormat="1" ht="86" customHeight="1" x14ac:dyDescent="0.4">
      <c r="C44" s="54"/>
      <c r="D44" s="55" t="s">
        <v>22</v>
      </c>
      <c r="E44" s="56" t="s">
        <v>23</v>
      </c>
      <c r="F44" s="56"/>
      <c r="G44" s="57"/>
      <c r="H44" s="57" t="s">
        <v>24</v>
      </c>
      <c r="I44" s="57" t="s">
        <v>25</v>
      </c>
      <c r="J44" s="57" t="s">
        <v>26</v>
      </c>
      <c r="K44" s="58" t="s">
        <v>27</v>
      </c>
      <c r="L44" s="57" t="s">
        <v>28</v>
      </c>
      <c r="M44" s="58" t="s">
        <v>29</v>
      </c>
      <c r="N44" s="59"/>
      <c r="O44" s="60"/>
      <c r="Q44" s="61"/>
      <c r="R44" s="61"/>
      <c r="S44" s="61"/>
      <c r="T44" s="61"/>
    </row>
    <row r="45" spans="2:20" s="62" customFormat="1" ht="26.75" customHeight="1" x14ac:dyDescent="0.3">
      <c r="C45" s="63"/>
      <c r="D45" s="64"/>
      <c r="E45" s="65" t="e">
        <f>VLOOKUP($D45,[1]!Table1[#All],2,FALSE)</f>
        <v>#N/A</v>
      </c>
      <c r="F45" s="65"/>
      <c r="G45" s="65"/>
      <c r="H45" s="66" t="e">
        <f>VLOOKUP($D45,[1]!Table1[#All],3,FALSE)</f>
        <v>#N/A</v>
      </c>
      <c r="I45" s="66"/>
      <c r="J45" s="67"/>
      <c r="K45" s="68" t="e">
        <f>VLOOKUP($D45,[1]!Table1[#All],4,FALSE)</f>
        <v>#N/A</v>
      </c>
      <c r="L45" s="69"/>
      <c r="M45" s="70" t="e">
        <f t="shared" ref="M45:M77" si="0">+K45*L45</f>
        <v>#N/A</v>
      </c>
      <c r="N45" s="71"/>
      <c r="O45" s="72"/>
    </row>
    <row r="46" spans="2:20" s="62" customFormat="1" ht="26.75" customHeight="1" x14ac:dyDescent="0.3">
      <c r="C46" s="63"/>
      <c r="D46" s="64"/>
      <c r="E46" s="65" t="e">
        <f>VLOOKUP($D46,[1]!Table1[#All],2,FALSE)</f>
        <v>#N/A</v>
      </c>
      <c r="F46" s="65"/>
      <c r="G46" s="65"/>
      <c r="H46" s="66" t="e">
        <f>VLOOKUP($D46,[1]!Table1[#All],3,FALSE)</f>
        <v>#N/A</v>
      </c>
      <c r="I46" s="66"/>
      <c r="J46" s="67"/>
      <c r="K46" s="68" t="e">
        <f>VLOOKUP($D46,[1]!Table1[#All],4,FALSE)</f>
        <v>#N/A</v>
      </c>
      <c r="L46" s="69"/>
      <c r="M46" s="70" t="e">
        <f t="shared" si="0"/>
        <v>#N/A</v>
      </c>
      <c r="N46" s="71"/>
      <c r="O46" s="72"/>
    </row>
    <row r="47" spans="2:20" s="62" customFormat="1" ht="26.75" customHeight="1" x14ac:dyDescent="0.3">
      <c r="C47" s="63"/>
      <c r="D47" s="64"/>
      <c r="E47" s="65" t="e">
        <f>VLOOKUP($D47,[1]!Table1[#All],2,FALSE)</f>
        <v>#N/A</v>
      </c>
      <c r="F47" s="65"/>
      <c r="G47" s="65"/>
      <c r="H47" s="66" t="e">
        <f>VLOOKUP($D47,[1]!Table1[#All],3,FALSE)</f>
        <v>#N/A</v>
      </c>
      <c r="I47" s="66"/>
      <c r="J47" s="67"/>
      <c r="K47" s="68" t="e">
        <f>VLOOKUP($D47,[1]!Table1[#All],4,FALSE)</f>
        <v>#N/A</v>
      </c>
      <c r="L47" s="69"/>
      <c r="M47" s="70" t="e">
        <f t="shared" si="0"/>
        <v>#N/A</v>
      </c>
      <c r="N47" s="71"/>
      <c r="O47" s="72"/>
    </row>
    <row r="48" spans="2:20" s="62" customFormat="1" ht="26.75" customHeight="1" x14ac:dyDescent="0.3">
      <c r="C48" s="63"/>
      <c r="D48" s="64"/>
      <c r="E48" s="65" t="e">
        <f>VLOOKUP($D48,[1]!Table1[#All],2,FALSE)</f>
        <v>#N/A</v>
      </c>
      <c r="F48" s="65"/>
      <c r="G48" s="65"/>
      <c r="H48" s="66" t="e">
        <f>VLOOKUP($D48,[1]!Table1[#All],3,FALSE)</f>
        <v>#N/A</v>
      </c>
      <c r="I48" s="66"/>
      <c r="J48" s="67"/>
      <c r="K48" s="68" t="e">
        <f>VLOOKUP($D48,[1]!Table1[#All],4,FALSE)</f>
        <v>#N/A</v>
      </c>
      <c r="L48" s="69"/>
      <c r="M48" s="70" t="e">
        <f t="shared" si="0"/>
        <v>#N/A</v>
      </c>
      <c r="N48" s="71"/>
      <c r="O48" s="72"/>
    </row>
    <row r="49" spans="3:15" s="62" customFormat="1" ht="26.75" customHeight="1" x14ac:dyDescent="0.3">
      <c r="C49" s="63"/>
      <c r="D49" s="64"/>
      <c r="E49" s="65" t="e">
        <f>VLOOKUP($D49,[1]!Table1[#All],2,FALSE)</f>
        <v>#N/A</v>
      </c>
      <c r="F49" s="65"/>
      <c r="G49" s="65"/>
      <c r="H49" s="66" t="e">
        <f>VLOOKUP($D49,[1]!Table1[#All],3,FALSE)</f>
        <v>#N/A</v>
      </c>
      <c r="I49" s="66"/>
      <c r="J49" s="67"/>
      <c r="K49" s="68" t="e">
        <f>VLOOKUP($D49,[1]!Table1[#All],4,FALSE)</f>
        <v>#N/A</v>
      </c>
      <c r="L49" s="69"/>
      <c r="M49" s="70" t="e">
        <f t="shared" si="0"/>
        <v>#N/A</v>
      </c>
      <c r="N49" s="71"/>
      <c r="O49" s="72"/>
    </row>
    <row r="50" spans="3:15" s="62" customFormat="1" ht="26.75" customHeight="1" x14ac:dyDescent="0.3">
      <c r="C50" s="63"/>
      <c r="D50" s="64"/>
      <c r="E50" s="65" t="e">
        <f>VLOOKUP($D50,[1]!Table1[#All],2,FALSE)</f>
        <v>#N/A</v>
      </c>
      <c r="F50" s="65"/>
      <c r="G50" s="65"/>
      <c r="H50" s="66" t="e">
        <f>VLOOKUP($D50,[1]!Table1[#All],3,FALSE)</f>
        <v>#N/A</v>
      </c>
      <c r="I50" s="66"/>
      <c r="J50" s="67"/>
      <c r="K50" s="68" t="e">
        <f>VLOOKUP($D50,[1]!Table1[#All],4,FALSE)</f>
        <v>#N/A</v>
      </c>
      <c r="L50" s="69"/>
      <c r="M50" s="70" t="e">
        <f t="shared" si="0"/>
        <v>#N/A</v>
      </c>
      <c r="N50" s="71"/>
      <c r="O50" s="72"/>
    </row>
    <row r="51" spans="3:15" s="62" customFormat="1" ht="26.75" customHeight="1" x14ac:dyDescent="0.3">
      <c r="C51" s="63"/>
      <c r="D51" s="64"/>
      <c r="E51" s="65" t="e">
        <f>VLOOKUP($D51,[1]!Table1[#All],2,FALSE)</f>
        <v>#N/A</v>
      </c>
      <c r="F51" s="65"/>
      <c r="G51" s="65"/>
      <c r="H51" s="66" t="e">
        <f>VLOOKUP($D51,[1]!Table1[#All],3,FALSE)</f>
        <v>#N/A</v>
      </c>
      <c r="I51" s="66"/>
      <c r="J51" s="67"/>
      <c r="K51" s="68" t="e">
        <f>VLOOKUP($D51,[1]!Table1[#All],4,FALSE)</f>
        <v>#N/A</v>
      </c>
      <c r="L51" s="69"/>
      <c r="M51" s="70" t="e">
        <f t="shared" si="0"/>
        <v>#N/A</v>
      </c>
      <c r="N51" s="71"/>
      <c r="O51" s="72"/>
    </row>
    <row r="52" spans="3:15" s="62" customFormat="1" ht="26.75" customHeight="1" x14ac:dyDescent="0.3">
      <c r="C52" s="63"/>
      <c r="D52" s="64"/>
      <c r="E52" s="65" t="e">
        <f>VLOOKUP($D52,[1]!Table1[#All],2,FALSE)</f>
        <v>#N/A</v>
      </c>
      <c r="F52" s="65"/>
      <c r="G52" s="65"/>
      <c r="H52" s="66" t="e">
        <f>VLOOKUP($D52,[1]!Table1[#All],3,FALSE)</f>
        <v>#N/A</v>
      </c>
      <c r="I52" s="66"/>
      <c r="J52" s="67"/>
      <c r="K52" s="68" t="e">
        <f>VLOOKUP($D52,[1]!Table1[#All],4,FALSE)</f>
        <v>#N/A</v>
      </c>
      <c r="L52" s="69"/>
      <c r="M52" s="70" t="e">
        <f t="shared" si="0"/>
        <v>#N/A</v>
      </c>
      <c r="N52" s="71"/>
      <c r="O52" s="72"/>
    </row>
    <row r="53" spans="3:15" s="62" customFormat="1" ht="26.75" customHeight="1" x14ac:dyDescent="0.3">
      <c r="C53" s="63"/>
      <c r="D53" s="64"/>
      <c r="E53" s="65" t="e">
        <f>VLOOKUP($D53,[1]!Table1[#All],2,FALSE)</f>
        <v>#N/A</v>
      </c>
      <c r="F53" s="65"/>
      <c r="G53" s="65"/>
      <c r="H53" s="66" t="e">
        <f>VLOOKUP($D53,[1]!Table1[#All],3,FALSE)</f>
        <v>#N/A</v>
      </c>
      <c r="I53" s="66"/>
      <c r="J53" s="67"/>
      <c r="K53" s="68" t="e">
        <f>VLOOKUP($D53,[1]!Table1[#All],4,FALSE)</f>
        <v>#N/A</v>
      </c>
      <c r="L53" s="69"/>
      <c r="M53" s="70" t="e">
        <f t="shared" si="0"/>
        <v>#N/A</v>
      </c>
      <c r="N53" s="71"/>
      <c r="O53" s="72"/>
    </row>
    <row r="54" spans="3:15" s="62" customFormat="1" ht="26.75" customHeight="1" x14ac:dyDescent="0.3">
      <c r="C54" s="63"/>
      <c r="D54" s="64"/>
      <c r="E54" s="65" t="e">
        <f>VLOOKUP($D54,[1]!Table1[#All],2,FALSE)</f>
        <v>#N/A</v>
      </c>
      <c r="F54" s="65"/>
      <c r="G54" s="65"/>
      <c r="H54" s="66" t="e">
        <f>VLOOKUP($D54,[1]!Table1[#All],3,FALSE)</f>
        <v>#N/A</v>
      </c>
      <c r="I54" s="66"/>
      <c r="J54" s="67"/>
      <c r="K54" s="68" t="e">
        <f>VLOOKUP($D54,[1]!Table1[#All],4,FALSE)</f>
        <v>#N/A</v>
      </c>
      <c r="L54" s="69"/>
      <c r="M54" s="70" t="e">
        <f t="shared" si="0"/>
        <v>#N/A</v>
      </c>
      <c r="N54" s="71"/>
      <c r="O54" s="72"/>
    </row>
    <row r="55" spans="3:15" s="62" customFormat="1" ht="26.75" customHeight="1" x14ac:dyDescent="0.3">
      <c r="C55" s="63"/>
      <c r="D55" s="64"/>
      <c r="E55" s="65" t="e">
        <f>VLOOKUP($D55,[1]!Table1[#All],2,FALSE)</f>
        <v>#N/A</v>
      </c>
      <c r="F55" s="65"/>
      <c r="G55" s="65"/>
      <c r="H55" s="66" t="e">
        <f>VLOOKUP($D55,[1]!Table1[#All],3,FALSE)</f>
        <v>#N/A</v>
      </c>
      <c r="I55" s="66"/>
      <c r="J55" s="67"/>
      <c r="K55" s="68" t="e">
        <f>VLOOKUP($D55,[1]!Table1[#All],4,FALSE)</f>
        <v>#N/A</v>
      </c>
      <c r="L55" s="69"/>
      <c r="M55" s="70" t="e">
        <f t="shared" si="0"/>
        <v>#N/A</v>
      </c>
      <c r="N55" s="71"/>
      <c r="O55" s="72"/>
    </row>
    <row r="56" spans="3:15" s="62" customFormat="1" ht="26.75" customHeight="1" x14ac:dyDescent="0.3">
      <c r="C56" s="63"/>
      <c r="D56" s="64"/>
      <c r="E56" s="65" t="e">
        <f>VLOOKUP($D56,[1]!Table1[#All],2,FALSE)</f>
        <v>#N/A</v>
      </c>
      <c r="F56" s="65"/>
      <c r="G56" s="65"/>
      <c r="H56" s="66" t="e">
        <f>VLOOKUP($D56,[1]!Table1[#All],3,FALSE)</f>
        <v>#N/A</v>
      </c>
      <c r="I56" s="66"/>
      <c r="J56" s="67"/>
      <c r="K56" s="68" t="e">
        <f>VLOOKUP($D56,[1]!Table1[#All],4,FALSE)</f>
        <v>#N/A</v>
      </c>
      <c r="L56" s="69"/>
      <c r="M56" s="70" t="e">
        <f t="shared" si="0"/>
        <v>#N/A</v>
      </c>
      <c r="N56" s="71"/>
      <c r="O56" s="72"/>
    </row>
    <row r="57" spans="3:15" s="62" customFormat="1" ht="26.75" customHeight="1" x14ac:dyDescent="0.3">
      <c r="C57" s="63"/>
      <c r="D57" s="64"/>
      <c r="E57" s="65" t="e">
        <f>VLOOKUP($D57,[1]!Table1[#All],2,FALSE)</f>
        <v>#N/A</v>
      </c>
      <c r="F57" s="65"/>
      <c r="G57" s="65"/>
      <c r="H57" s="66" t="e">
        <f>VLOOKUP($D57,[1]!Table1[#All],3,FALSE)</f>
        <v>#N/A</v>
      </c>
      <c r="I57" s="66"/>
      <c r="J57" s="67"/>
      <c r="K57" s="68" t="e">
        <f>VLOOKUP($D57,[1]!Table1[#All],4,FALSE)</f>
        <v>#N/A</v>
      </c>
      <c r="L57" s="69"/>
      <c r="M57" s="70" t="e">
        <f t="shared" si="0"/>
        <v>#N/A</v>
      </c>
      <c r="N57" s="71"/>
      <c r="O57" s="72"/>
    </row>
    <row r="58" spans="3:15" s="62" customFormat="1" ht="26.75" customHeight="1" x14ac:dyDescent="0.3">
      <c r="C58" s="63"/>
      <c r="D58" s="64"/>
      <c r="E58" s="65" t="e">
        <f>VLOOKUP($D58,[1]!Table1[#All],2,FALSE)</f>
        <v>#N/A</v>
      </c>
      <c r="F58" s="65"/>
      <c r="G58" s="65"/>
      <c r="H58" s="66" t="e">
        <f>VLOOKUP($D58,[1]!Table1[#All],3,FALSE)</f>
        <v>#N/A</v>
      </c>
      <c r="I58" s="66"/>
      <c r="J58" s="67"/>
      <c r="K58" s="68" t="e">
        <f>VLOOKUP($D58,[1]!Table1[#All],4,FALSE)</f>
        <v>#N/A</v>
      </c>
      <c r="L58" s="69"/>
      <c r="M58" s="70" t="e">
        <f t="shared" si="0"/>
        <v>#N/A</v>
      </c>
      <c r="N58" s="71"/>
      <c r="O58" s="72"/>
    </row>
    <row r="59" spans="3:15" s="62" customFormat="1" ht="26.75" customHeight="1" x14ac:dyDescent="0.3">
      <c r="C59" s="63"/>
      <c r="D59" s="64"/>
      <c r="E59" s="65" t="e">
        <f>VLOOKUP($D59,[1]!Table1[#All],2,FALSE)</f>
        <v>#N/A</v>
      </c>
      <c r="F59" s="65"/>
      <c r="G59" s="65"/>
      <c r="H59" s="66" t="e">
        <f>VLOOKUP($D59,[1]!Table1[#All],3,FALSE)</f>
        <v>#N/A</v>
      </c>
      <c r="I59" s="66"/>
      <c r="J59" s="67"/>
      <c r="K59" s="68" t="e">
        <f>VLOOKUP($D59,[1]!Table1[#All],4,FALSE)</f>
        <v>#N/A</v>
      </c>
      <c r="L59" s="69"/>
      <c r="M59" s="70" t="e">
        <f t="shared" si="0"/>
        <v>#N/A</v>
      </c>
      <c r="N59" s="71"/>
      <c r="O59" s="72"/>
    </row>
    <row r="60" spans="3:15" s="62" customFormat="1" ht="26.75" customHeight="1" x14ac:dyDescent="0.3">
      <c r="C60" s="63"/>
      <c r="D60" s="64"/>
      <c r="E60" s="65" t="e">
        <f>VLOOKUP($D60,[1]!Table1[#All],2,FALSE)</f>
        <v>#N/A</v>
      </c>
      <c r="F60" s="65"/>
      <c r="G60" s="65"/>
      <c r="H60" s="66" t="e">
        <f>VLOOKUP($D60,[1]!Table1[#All],3,FALSE)</f>
        <v>#N/A</v>
      </c>
      <c r="I60" s="66"/>
      <c r="J60" s="67"/>
      <c r="K60" s="68" t="e">
        <f>VLOOKUP($D60,[1]!Table1[#All],4,FALSE)</f>
        <v>#N/A</v>
      </c>
      <c r="L60" s="69"/>
      <c r="M60" s="70" t="e">
        <f t="shared" si="0"/>
        <v>#N/A</v>
      </c>
      <c r="N60" s="71"/>
      <c r="O60" s="72"/>
    </row>
    <row r="61" spans="3:15" s="62" customFormat="1" ht="26.75" customHeight="1" x14ac:dyDescent="0.3">
      <c r="C61" s="63"/>
      <c r="D61" s="64"/>
      <c r="E61" s="65" t="e">
        <f>VLOOKUP($D61,[1]!Table1[#All],2,FALSE)</f>
        <v>#N/A</v>
      </c>
      <c r="F61" s="65"/>
      <c r="G61" s="65"/>
      <c r="H61" s="66" t="e">
        <f>VLOOKUP($D61,[1]!Table1[#All],3,FALSE)</f>
        <v>#N/A</v>
      </c>
      <c r="I61" s="66"/>
      <c r="J61" s="67"/>
      <c r="K61" s="68" t="e">
        <f>VLOOKUP($D61,[1]!Table1[#All],4,FALSE)</f>
        <v>#N/A</v>
      </c>
      <c r="L61" s="69"/>
      <c r="M61" s="70" t="e">
        <f t="shared" si="0"/>
        <v>#N/A</v>
      </c>
      <c r="N61" s="71"/>
      <c r="O61" s="72"/>
    </row>
    <row r="62" spans="3:15" s="62" customFormat="1" ht="26.75" customHeight="1" x14ac:dyDescent="0.3">
      <c r="C62" s="63"/>
      <c r="D62" s="64"/>
      <c r="E62" s="65" t="e">
        <f>VLOOKUP($D62,[1]!Table1[#All],2,FALSE)</f>
        <v>#N/A</v>
      </c>
      <c r="F62" s="65"/>
      <c r="G62" s="65"/>
      <c r="H62" s="66" t="e">
        <f>VLOOKUP($D62,[1]!Table1[#All],3,FALSE)</f>
        <v>#N/A</v>
      </c>
      <c r="I62" s="66"/>
      <c r="J62" s="67"/>
      <c r="K62" s="68" t="e">
        <f>VLOOKUP($D62,[1]!Table1[#All],4,FALSE)</f>
        <v>#N/A</v>
      </c>
      <c r="L62" s="69"/>
      <c r="M62" s="70" t="e">
        <f t="shared" si="0"/>
        <v>#N/A</v>
      </c>
      <c r="N62" s="71"/>
      <c r="O62" s="72"/>
    </row>
    <row r="63" spans="3:15" s="62" customFormat="1" ht="26.75" customHeight="1" x14ac:dyDescent="0.3">
      <c r="C63" s="63"/>
      <c r="D63" s="64"/>
      <c r="E63" s="65" t="e">
        <f>VLOOKUP($D63,[1]!Table1[#All],2,FALSE)</f>
        <v>#N/A</v>
      </c>
      <c r="F63" s="65"/>
      <c r="G63" s="65"/>
      <c r="H63" s="66" t="e">
        <f>VLOOKUP($D63,[1]!Table1[#All],3,FALSE)</f>
        <v>#N/A</v>
      </c>
      <c r="I63" s="66"/>
      <c r="J63" s="67"/>
      <c r="K63" s="68" t="e">
        <f>VLOOKUP($D63,[1]!Table1[#All],4,FALSE)</f>
        <v>#N/A</v>
      </c>
      <c r="L63" s="69"/>
      <c r="M63" s="70" t="e">
        <f t="shared" si="0"/>
        <v>#N/A</v>
      </c>
      <c r="N63" s="71"/>
      <c r="O63" s="72"/>
    </row>
    <row r="64" spans="3:15" s="62" customFormat="1" ht="26.75" customHeight="1" x14ac:dyDescent="0.3">
      <c r="C64" s="63"/>
      <c r="D64" s="64"/>
      <c r="E64" s="65" t="e">
        <f>VLOOKUP($D64,[1]!Table1[#All],2,FALSE)</f>
        <v>#N/A</v>
      </c>
      <c r="F64" s="65"/>
      <c r="G64" s="65"/>
      <c r="H64" s="66" t="e">
        <f>VLOOKUP($D64,[1]!Table1[#All],3,FALSE)</f>
        <v>#N/A</v>
      </c>
      <c r="I64" s="66"/>
      <c r="J64" s="67"/>
      <c r="K64" s="68" t="e">
        <f>VLOOKUP($D64,[1]!Table1[#All],4,FALSE)</f>
        <v>#N/A</v>
      </c>
      <c r="L64" s="69"/>
      <c r="M64" s="70" t="e">
        <f t="shared" si="0"/>
        <v>#N/A</v>
      </c>
      <c r="N64" s="71"/>
      <c r="O64" s="72"/>
    </row>
    <row r="65" spans="3:15" s="62" customFormat="1" ht="26.75" customHeight="1" x14ac:dyDescent="0.3">
      <c r="C65" s="63"/>
      <c r="D65" s="64"/>
      <c r="E65" s="65" t="e">
        <f>VLOOKUP($D65,[1]!Table1[#All],2,FALSE)</f>
        <v>#N/A</v>
      </c>
      <c r="F65" s="65"/>
      <c r="G65" s="65"/>
      <c r="H65" s="66" t="e">
        <f>VLOOKUP($D65,[1]!Table1[#All],3,FALSE)</f>
        <v>#N/A</v>
      </c>
      <c r="I65" s="66"/>
      <c r="J65" s="67"/>
      <c r="K65" s="68" t="e">
        <f>VLOOKUP($D65,[1]!Table1[#All],4,FALSE)</f>
        <v>#N/A</v>
      </c>
      <c r="L65" s="69"/>
      <c r="M65" s="70" t="e">
        <f t="shared" si="0"/>
        <v>#N/A</v>
      </c>
      <c r="N65" s="71"/>
      <c r="O65" s="72"/>
    </row>
    <row r="66" spans="3:15" s="62" customFormat="1" ht="26.75" customHeight="1" x14ac:dyDescent="0.3">
      <c r="C66" s="63"/>
      <c r="D66" s="64"/>
      <c r="E66" s="65" t="e">
        <f>VLOOKUP($D66,[1]!Table1[#All],2,FALSE)</f>
        <v>#N/A</v>
      </c>
      <c r="F66" s="65"/>
      <c r="G66" s="65"/>
      <c r="H66" s="66" t="e">
        <f>VLOOKUP($D66,[1]!Table1[#All],3,FALSE)</f>
        <v>#N/A</v>
      </c>
      <c r="I66" s="66"/>
      <c r="J66" s="67"/>
      <c r="K66" s="68" t="e">
        <f>VLOOKUP($D66,[1]!Table1[#All],4,FALSE)</f>
        <v>#N/A</v>
      </c>
      <c r="L66" s="69"/>
      <c r="M66" s="70" t="e">
        <f t="shared" si="0"/>
        <v>#N/A</v>
      </c>
      <c r="N66" s="71"/>
      <c r="O66" s="72"/>
    </row>
    <row r="67" spans="3:15" s="62" customFormat="1" ht="26.75" customHeight="1" x14ac:dyDescent="0.3">
      <c r="C67" s="63"/>
      <c r="D67" s="64"/>
      <c r="E67" s="65" t="e">
        <f>VLOOKUP($D67,[1]!Table1[#All],2,FALSE)</f>
        <v>#N/A</v>
      </c>
      <c r="F67" s="65"/>
      <c r="G67" s="65"/>
      <c r="H67" s="66" t="e">
        <f>VLOOKUP($D67,[1]!Table1[#All],3,FALSE)</f>
        <v>#N/A</v>
      </c>
      <c r="I67" s="66"/>
      <c r="J67" s="67"/>
      <c r="K67" s="68" t="e">
        <f>VLOOKUP($D67,[1]!Table1[#All],4,FALSE)</f>
        <v>#N/A</v>
      </c>
      <c r="L67" s="69"/>
      <c r="M67" s="70" t="e">
        <f t="shared" si="0"/>
        <v>#N/A</v>
      </c>
      <c r="N67" s="71"/>
      <c r="O67" s="72"/>
    </row>
    <row r="68" spans="3:15" s="62" customFormat="1" ht="26.75" customHeight="1" x14ac:dyDescent="0.3">
      <c r="C68" s="63"/>
      <c r="D68" s="64"/>
      <c r="E68" s="65" t="e">
        <f>VLOOKUP($D68,[1]!Table1[#All],2,FALSE)</f>
        <v>#N/A</v>
      </c>
      <c r="F68" s="65"/>
      <c r="G68" s="65"/>
      <c r="H68" s="66" t="e">
        <f>VLOOKUP($D68,[1]!Table1[#All],3,FALSE)</f>
        <v>#N/A</v>
      </c>
      <c r="I68" s="66"/>
      <c r="J68" s="67"/>
      <c r="K68" s="68" t="e">
        <f>VLOOKUP($D68,[1]!Table1[#All],4,FALSE)</f>
        <v>#N/A</v>
      </c>
      <c r="L68" s="69"/>
      <c r="M68" s="70" t="e">
        <f t="shared" si="0"/>
        <v>#N/A</v>
      </c>
      <c r="N68" s="71"/>
      <c r="O68" s="72"/>
    </row>
    <row r="69" spans="3:15" s="62" customFormat="1" ht="26.75" customHeight="1" x14ac:dyDescent="0.3">
      <c r="C69" s="63"/>
      <c r="D69" s="64"/>
      <c r="E69" s="65" t="e">
        <f>VLOOKUP($D69,[1]!Table1[#All],2,FALSE)</f>
        <v>#N/A</v>
      </c>
      <c r="F69" s="65"/>
      <c r="G69" s="65"/>
      <c r="H69" s="66" t="e">
        <f>VLOOKUP($D69,[1]!Table1[#All],3,FALSE)</f>
        <v>#N/A</v>
      </c>
      <c r="I69" s="66"/>
      <c r="J69" s="67"/>
      <c r="K69" s="68" t="e">
        <f>VLOOKUP($D69,[1]!Table1[#All],4,FALSE)</f>
        <v>#N/A</v>
      </c>
      <c r="L69" s="69"/>
      <c r="M69" s="70" t="e">
        <f t="shared" si="0"/>
        <v>#N/A</v>
      </c>
      <c r="N69" s="71"/>
      <c r="O69" s="72"/>
    </row>
    <row r="70" spans="3:15" s="62" customFormat="1" ht="26.75" customHeight="1" x14ac:dyDescent="0.3">
      <c r="C70" s="63"/>
      <c r="D70" s="64"/>
      <c r="E70" s="65" t="e">
        <f>VLOOKUP($D70,[1]!Table1[#All],2,FALSE)</f>
        <v>#N/A</v>
      </c>
      <c r="F70" s="65"/>
      <c r="G70" s="65"/>
      <c r="H70" s="66" t="e">
        <f>VLOOKUP($D70,[1]!Table1[#All],3,FALSE)</f>
        <v>#N/A</v>
      </c>
      <c r="I70" s="66"/>
      <c r="J70" s="67"/>
      <c r="K70" s="68" t="e">
        <f>VLOOKUP($D70,[1]!Table1[#All],4,FALSE)</f>
        <v>#N/A</v>
      </c>
      <c r="L70" s="69"/>
      <c r="M70" s="70" t="e">
        <f t="shared" si="0"/>
        <v>#N/A</v>
      </c>
      <c r="N70" s="73"/>
      <c r="O70" s="72"/>
    </row>
    <row r="71" spans="3:15" s="62" customFormat="1" ht="26.75" customHeight="1" x14ac:dyDescent="0.3">
      <c r="C71" s="63"/>
      <c r="D71" s="64"/>
      <c r="E71" s="65" t="e">
        <f>VLOOKUP($D71,[1]!Table1[#All],2,FALSE)</f>
        <v>#N/A</v>
      </c>
      <c r="F71" s="65"/>
      <c r="G71" s="65"/>
      <c r="H71" s="66" t="e">
        <f>VLOOKUP($D71,[1]!Table1[#All],3,FALSE)</f>
        <v>#N/A</v>
      </c>
      <c r="I71" s="66"/>
      <c r="J71" s="67"/>
      <c r="K71" s="68" t="e">
        <f>VLOOKUP($D71,[1]!Table1[#All],4,FALSE)</f>
        <v>#N/A</v>
      </c>
      <c r="L71" s="69"/>
      <c r="M71" s="70" t="e">
        <f t="shared" si="0"/>
        <v>#N/A</v>
      </c>
      <c r="N71" s="73"/>
      <c r="O71" s="72"/>
    </row>
    <row r="72" spans="3:15" s="62" customFormat="1" ht="26.75" customHeight="1" x14ac:dyDescent="0.3">
      <c r="C72" s="63"/>
      <c r="D72" s="64"/>
      <c r="E72" s="65" t="e">
        <f>VLOOKUP($D72,[1]!Table1[#All],2,FALSE)</f>
        <v>#N/A</v>
      </c>
      <c r="F72" s="65"/>
      <c r="G72" s="65"/>
      <c r="H72" s="66" t="e">
        <f>VLOOKUP($D72,[1]!Table1[#All],3,FALSE)</f>
        <v>#N/A</v>
      </c>
      <c r="I72" s="66"/>
      <c r="J72" s="67"/>
      <c r="K72" s="68" t="e">
        <f>VLOOKUP($D72,[1]!Table1[#All],4,FALSE)</f>
        <v>#N/A</v>
      </c>
      <c r="L72" s="69"/>
      <c r="M72" s="70" t="e">
        <f t="shared" si="0"/>
        <v>#N/A</v>
      </c>
      <c r="N72" s="73"/>
      <c r="O72" s="72"/>
    </row>
    <row r="73" spans="3:15" s="62" customFormat="1" ht="26.75" customHeight="1" x14ac:dyDescent="0.3">
      <c r="C73" s="63"/>
      <c r="D73" s="64"/>
      <c r="E73" s="65" t="e">
        <f>VLOOKUP($D73,[1]!Table1[#All],2,FALSE)</f>
        <v>#N/A</v>
      </c>
      <c r="F73" s="65"/>
      <c r="G73" s="65"/>
      <c r="H73" s="66" t="e">
        <f>VLOOKUP($D73,[1]!Table1[#All],3,FALSE)</f>
        <v>#N/A</v>
      </c>
      <c r="I73" s="66"/>
      <c r="J73" s="67"/>
      <c r="K73" s="68" t="e">
        <f>VLOOKUP($D73,[1]!Table1[#All],4,FALSE)</f>
        <v>#N/A</v>
      </c>
      <c r="L73" s="69"/>
      <c r="M73" s="70" t="e">
        <f>+K73*L73</f>
        <v>#N/A</v>
      </c>
      <c r="N73" s="73"/>
      <c r="O73" s="72"/>
    </row>
    <row r="74" spans="3:15" s="62" customFormat="1" ht="26.75" customHeight="1" x14ac:dyDescent="0.3">
      <c r="C74" s="63"/>
      <c r="D74" s="64"/>
      <c r="E74" s="65" t="e">
        <f>VLOOKUP($D74,[1]!Table1[#All],2,FALSE)</f>
        <v>#N/A</v>
      </c>
      <c r="F74" s="65"/>
      <c r="G74" s="65"/>
      <c r="H74" s="66" t="e">
        <f>VLOOKUP($D74,[1]!Table1[#All],3,FALSE)</f>
        <v>#N/A</v>
      </c>
      <c r="I74" s="66"/>
      <c r="J74" s="67"/>
      <c r="K74" s="68" t="e">
        <f>VLOOKUP($D74,[1]!Table1[#All],4,FALSE)</f>
        <v>#N/A</v>
      </c>
      <c r="L74" s="69"/>
      <c r="M74" s="70" t="e">
        <f t="shared" si="0"/>
        <v>#N/A</v>
      </c>
      <c r="N74" s="73"/>
      <c r="O74" s="72"/>
    </row>
    <row r="75" spans="3:15" s="62" customFormat="1" ht="26.75" customHeight="1" x14ac:dyDescent="0.3">
      <c r="C75" s="63"/>
      <c r="D75" s="64"/>
      <c r="E75" s="65" t="e">
        <f>VLOOKUP($D75,[1]!Table1[#All],2,FALSE)</f>
        <v>#N/A</v>
      </c>
      <c r="F75" s="65"/>
      <c r="G75" s="65"/>
      <c r="H75" s="66" t="e">
        <f>VLOOKUP($D75,[1]!Table1[#All],3,FALSE)</f>
        <v>#N/A</v>
      </c>
      <c r="I75" s="66"/>
      <c r="J75" s="67"/>
      <c r="K75" s="68" t="e">
        <f>VLOOKUP($D75,[1]!Table1[#All],4,FALSE)</f>
        <v>#N/A</v>
      </c>
      <c r="L75" s="69"/>
      <c r="M75" s="70" t="e">
        <f t="shared" si="0"/>
        <v>#N/A</v>
      </c>
      <c r="N75" s="73"/>
      <c r="O75" s="72"/>
    </row>
    <row r="76" spans="3:15" s="62" customFormat="1" ht="26.75" customHeight="1" x14ac:dyDescent="0.3">
      <c r="C76" s="63"/>
      <c r="D76" s="64"/>
      <c r="E76" s="65" t="e">
        <f>VLOOKUP($D76,[1]!Table1[#All],2,FALSE)</f>
        <v>#N/A</v>
      </c>
      <c r="F76" s="65"/>
      <c r="G76" s="65"/>
      <c r="H76" s="66" t="e">
        <f>VLOOKUP($D76,[1]!Table1[#All],3,FALSE)</f>
        <v>#N/A</v>
      </c>
      <c r="I76" s="66"/>
      <c r="J76" s="67"/>
      <c r="K76" s="68" t="e">
        <f>VLOOKUP($D76,[1]!Table1[#All],4,FALSE)</f>
        <v>#N/A</v>
      </c>
      <c r="L76" s="69"/>
      <c r="M76" s="70" t="e">
        <f t="shared" si="0"/>
        <v>#N/A</v>
      </c>
      <c r="N76" s="73"/>
      <c r="O76" s="72"/>
    </row>
    <row r="77" spans="3:15" s="62" customFormat="1" ht="26.75" customHeight="1" x14ac:dyDescent="0.3">
      <c r="C77" s="63"/>
      <c r="D77" s="64"/>
      <c r="E77" s="65" t="e">
        <f>VLOOKUP($D77,[1]!Table1[#All],2,FALSE)</f>
        <v>#N/A</v>
      </c>
      <c r="F77" s="65"/>
      <c r="G77" s="65"/>
      <c r="H77" s="66" t="e">
        <f>VLOOKUP($D77,[1]!Table1[#All],3,FALSE)</f>
        <v>#N/A</v>
      </c>
      <c r="I77" s="66"/>
      <c r="J77" s="67"/>
      <c r="K77" s="68" t="e">
        <f>VLOOKUP($D77,[1]!Table1[#All],4,FALSE)</f>
        <v>#N/A</v>
      </c>
      <c r="L77" s="69"/>
      <c r="M77" s="70" t="e">
        <f t="shared" si="0"/>
        <v>#N/A</v>
      </c>
      <c r="N77" s="73"/>
      <c r="O77" s="72"/>
    </row>
    <row r="78" spans="3:15" s="62" customFormat="1" ht="26.75" customHeight="1" x14ac:dyDescent="0.3">
      <c r="C78" s="74"/>
      <c r="D78" s="75"/>
      <c r="E78" s="76" t="s">
        <v>30</v>
      </c>
      <c r="F78" s="76"/>
      <c r="G78" s="76"/>
      <c r="H78" s="77"/>
      <c r="I78" s="77"/>
      <c r="J78" s="78"/>
      <c r="K78" s="79"/>
      <c r="L78" s="80"/>
      <c r="M78" s="81" t="e">
        <f>SUM(M31:M77)-(SUM(M31:M77)*0.95)</f>
        <v>#N/A</v>
      </c>
      <c r="N78" s="82"/>
      <c r="O78" s="72"/>
    </row>
    <row r="79" spans="3:15" s="62" customFormat="1" ht="26.75" customHeight="1" x14ac:dyDescent="0.3">
      <c r="C79" s="74"/>
      <c r="D79" s="75"/>
      <c r="E79" s="76" t="s">
        <v>31</v>
      </c>
      <c r="F79" s="76"/>
      <c r="G79" s="76"/>
      <c r="H79" s="77"/>
      <c r="I79" s="77"/>
      <c r="J79" s="78"/>
      <c r="K79" s="79"/>
      <c r="L79" s="80"/>
      <c r="M79" s="81" t="e">
        <f>SUM(M31:M77)-(SUM(M31:M77)*0.9)</f>
        <v>#N/A</v>
      </c>
      <c r="N79" s="82"/>
      <c r="O79" s="72"/>
    </row>
    <row r="80" spans="3:15" s="62" customFormat="1" ht="26.75" customHeight="1" thickBot="1" x14ac:dyDescent="0.35">
      <c r="C80" s="83"/>
      <c r="D80" s="84"/>
      <c r="E80" s="85" t="s">
        <v>32</v>
      </c>
      <c r="F80" s="85"/>
      <c r="G80" s="85"/>
      <c r="H80" s="86"/>
      <c r="I80" s="86"/>
      <c r="J80" s="87"/>
      <c r="K80" s="88"/>
      <c r="L80" s="89"/>
      <c r="M80" s="81" t="e">
        <f>SUM(M31:M77)-(SUM(M31:M77)*0.85)</f>
        <v>#N/A</v>
      </c>
      <c r="N80" s="90"/>
      <c r="O80" s="72"/>
    </row>
    <row r="81" spans="2:15" s="91" customFormat="1" ht="35" customHeight="1" thickBot="1" x14ac:dyDescent="0.3">
      <c r="C81" s="92" t="s">
        <v>33</v>
      </c>
      <c r="D81" s="92"/>
      <c r="E81" s="92"/>
      <c r="F81" s="92"/>
      <c r="G81" s="93" t="s">
        <v>34</v>
      </c>
      <c r="H81" s="93"/>
      <c r="I81" s="93"/>
      <c r="J81" s="93"/>
      <c r="K81" s="93"/>
      <c r="L81" s="93"/>
      <c r="M81" s="94" t="e">
        <f>SUM(M45:M80)</f>
        <v>#N/A</v>
      </c>
      <c r="N81" s="95"/>
      <c r="O81" s="96"/>
    </row>
    <row r="82" spans="2:15" s="91" customFormat="1" ht="35" customHeight="1" x14ac:dyDescent="0.25">
      <c r="C82" s="97" t="s">
        <v>35</v>
      </c>
      <c r="D82" s="97"/>
      <c r="E82" s="97"/>
      <c r="F82" s="97"/>
      <c r="G82" s="97"/>
      <c r="H82" s="97"/>
      <c r="I82" s="97"/>
      <c r="J82" s="97"/>
      <c r="K82" s="97"/>
      <c r="L82" s="97"/>
      <c r="M82" s="97"/>
      <c r="N82" s="95"/>
      <c r="O82" s="96"/>
    </row>
    <row r="83" spans="2:15" s="62" customFormat="1" ht="31.25" customHeight="1" thickBot="1" x14ac:dyDescent="0.35">
      <c r="C83" s="98" t="s">
        <v>36</v>
      </c>
      <c r="D83" s="99"/>
      <c r="E83" s="99"/>
      <c r="F83" s="99"/>
      <c r="G83" s="99"/>
      <c r="H83" s="99"/>
      <c r="I83" s="99"/>
      <c r="J83" s="67"/>
      <c r="K83" s="68"/>
      <c r="L83" s="69"/>
      <c r="M83" s="70"/>
      <c r="N83" s="100"/>
      <c r="O83" s="72"/>
    </row>
    <row r="84" spans="2:15" s="62" customFormat="1" ht="26.75" customHeight="1" x14ac:dyDescent="0.3">
      <c r="C84" s="101"/>
      <c r="D84" s="102"/>
      <c r="E84" s="103" t="e">
        <f>VLOOKUP($D84,[1]!Table1[#All],2,FALSE)</f>
        <v>#N/A</v>
      </c>
      <c r="F84" s="103"/>
      <c r="G84" s="103"/>
      <c r="H84" s="104" t="e">
        <f>VLOOKUP($D84,[1]!Table1[#All],3,FALSE)</f>
        <v>#N/A</v>
      </c>
      <c r="I84" s="104"/>
      <c r="J84" s="105"/>
      <c r="K84" s="106" t="e">
        <f>VLOOKUP($D84,[1]!Table1[#All],4,FALSE)</f>
        <v>#N/A</v>
      </c>
      <c r="L84" s="107">
        <v>1</v>
      </c>
      <c r="M84" s="108" t="e">
        <f t="shared" ref="M84:M88" si="1">+K84*L84</f>
        <v>#N/A</v>
      </c>
      <c r="N84" s="109"/>
      <c r="O84" s="72"/>
    </row>
    <row r="85" spans="2:15" s="62" customFormat="1" ht="26.75" customHeight="1" x14ac:dyDescent="0.3">
      <c r="C85" s="63"/>
      <c r="D85" s="64"/>
      <c r="E85" s="65" t="e">
        <f>VLOOKUP($D85,[1]!Table1[#All],2,FALSE)</f>
        <v>#N/A</v>
      </c>
      <c r="F85" s="65"/>
      <c r="G85" s="65"/>
      <c r="H85" s="66" t="e">
        <f>VLOOKUP($D85,[1]!Table1[#All],3,FALSE)</f>
        <v>#N/A</v>
      </c>
      <c r="I85" s="66"/>
      <c r="J85" s="67"/>
      <c r="K85" s="68" t="e">
        <f>VLOOKUP($D85,[1]!Table1[#All],4,FALSE)</f>
        <v>#N/A</v>
      </c>
      <c r="L85" s="69"/>
      <c r="M85" s="70" t="e">
        <f t="shared" si="1"/>
        <v>#N/A</v>
      </c>
      <c r="N85" s="73"/>
      <c r="O85" s="72"/>
    </row>
    <row r="86" spans="2:15" s="62" customFormat="1" ht="26.75" customHeight="1" x14ac:dyDescent="0.3">
      <c r="C86" s="63"/>
      <c r="D86" s="64"/>
      <c r="E86" s="65" t="e">
        <f>VLOOKUP($D86,[1]!Table1[#All],2,FALSE)</f>
        <v>#N/A</v>
      </c>
      <c r="F86" s="65"/>
      <c r="G86" s="65"/>
      <c r="H86" s="66" t="e">
        <f>VLOOKUP($D86,[1]!Table1[#All],3,FALSE)</f>
        <v>#N/A</v>
      </c>
      <c r="I86" s="66"/>
      <c r="J86" s="67"/>
      <c r="K86" s="68" t="e">
        <f>VLOOKUP($D86,[1]!Table1[#All],4,FALSE)</f>
        <v>#N/A</v>
      </c>
      <c r="L86" s="69"/>
      <c r="M86" s="70" t="e">
        <f t="shared" si="1"/>
        <v>#N/A</v>
      </c>
      <c r="N86" s="73"/>
      <c r="O86" s="72"/>
    </row>
    <row r="87" spans="2:15" s="62" customFormat="1" ht="26.75" customHeight="1" x14ac:dyDescent="0.3">
      <c r="C87" s="63"/>
      <c r="D87" s="64"/>
      <c r="E87" s="65" t="e">
        <f>VLOOKUP($D87,[1]!Table1[#All],2,FALSE)</f>
        <v>#N/A</v>
      </c>
      <c r="F87" s="65"/>
      <c r="G87" s="65"/>
      <c r="H87" s="66" t="e">
        <f>VLOOKUP($D87,[1]!Table1[#All],3,FALSE)</f>
        <v>#N/A</v>
      </c>
      <c r="I87" s="66"/>
      <c r="J87" s="67"/>
      <c r="K87" s="68" t="e">
        <f>VLOOKUP($D87,[1]!Table1[#All],4,FALSE)</f>
        <v>#N/A</v>
      </c>
      <c r="L87" s="69"/>
      <c r="M87" s="70" t="e">
        <f t="shared" si="1"/>
        <v>#N/A</v>
      </c>
      <c r="N87" s="73"/>
      <c r="O87" s="72"/>
    </row>
    <row r="88" spans="2:15" s="62" customFormat="1" ht="26.75" customHeight="1" x14ac:dyDescent="0.3">
      <c r="C88" s="63"/>
      <c r="D88" s="64"/>
      <c r="E88" s="65" t="e">
        <f>VLOOKUP($D88,[1]!Table1[#All],2,FALSE)</f>
        <v>#N/A</v>
      </c>
      <c r="F88" s="65"/>
      <c r="G88" s="65"/>
      <c r="H88" s="66" t="e">
        <f>VLOOKUP($D88,[1]!Table1[#All],3,FALSE)</f>
        <v>#N/A</v>
      </c>
      <c r="I88" s="66"/>
      <c r="J88" s="67"/>
      <c r="K88" s="68" t="e">
        <f>VLOOKUP($D88,[1]!Table1[#All],4,FALSE)</f>
        <v>#N/A</v>
      </c>
      <c r="L88" s="69"/>
      <c r="M88" s="70" t="e">
        <f t="shared" si="1"/>
        <v>#N/A</v>
      </c>
      <c r="N88" s="73"/>
      <c r="O88" s="72"/>
    </row>
    <row r="89" spans="2:15" s="62" customFormat="1" ht="26.75" customHeight="1" thickBot="1" x14ac:dyDescent="0.35">
      <c r="C89" s="110"/>
      <c r="D89" s="111"/>
      <c r="E89" s="112" t="s">
        <v>37</v>
      </c>
      <c r="F89" s="112"/>
      <c r="G89" s="112"/>
      <c r="H89" s="112"/>
      <c r="I89" s="112"/>
      <c r="J89" s="112"/>
      <c r="K89" s="113"/>
      <c r="L89" s="114"/>
      <c r="M89" s="113" t="e">
        <f>SUM(M84:M88)</f>
        <v>#N/A</v>
      </c>
      <c r="N89" s="115"/>
      <c r="O89" s="72"/>
    </row>
    <row r="90" spans="2:15" s="19" customFormat="1" ht="26.75" customHeight="1" thickBot="1" x14ac:dyDescent="0.4">
      <c r="C90" s="15"/>
      <c r="D90" s="116"/>
      <c r="E90" s="117"/>
      <c r="F90" s="117"/>
      <c r="G90" s="118" t="s">
        <v>38</v>
      </c>
      <c r="H90" s="118"/>
      <c r="I90" s="118"/>
      <c r="J90" s="118"/>
      <c r="K90" s="118"/>
      <c r="L90" s="118"/>
      <c r="M90" s="119" t="e">
        <f>SUM(M84:M88)+M81</f>
        <v>#N/A</v>
      </c>
      <c r="N90" s="15"/>
      <c r="O90" s="15"/>
    </row>
    <row r="91" spans="2:15" s="62" customFormat="1" ht="24" customHeight="1" x14ac:dyDescent="0.3">
      <c r="B91" s="72"/>
      <c r="C91" s="120"/>
      <c r="D91" s="72"/>
      <c r="E91" s="72"/>
      <c r="F91" s="72"/>
      <c r="G91" s="72"/>
      <c r="H91" s="72"/>
      <c r="I91" s="72"/>
      <c r="J91" s="121"/>
      <c r="K91" s="72"/>
      <c r="L91" s="121"/>
      <c r="M91" s="121"/>
      <c r="N91" s="121"/>
    </row>
    <row r="92" spans="2:15" s="62" customFormat="1" ht="24" customHeight="1" x14ac:dyDescent="0.3">
      <c r="B92" s="72"/>
      <c r="C92" s="120"/>
      <c r="D92" s="72"/>
      <c r="E92" s="72"/>
      <c r="F92" s="72"/>
      <c r="G92" s="72"/>
      <c r="H92" s="72"/>
      <c r="I92" s="72"/>
      <c r="J92" s="121"/>
      <c r="K92" s="72"/>
      <c r="L92" s="121"/>
      <c r="M92" s="121"/>
      <c r="N92" s="121"/>
    </row>
    <row r="93" spans="2:15" s="126" customFormat="1" ht="24" customHeight="1" x14ac:dyDescent="0.3">
      <c r="B93" s="122"/>
      <c r="C93" s="123"/>
      <c r="D93" s="124" t="s">
        <v>39</v>
      </c>
      <c r="E93" s="124"/>
      <c r="F93" s="124"/>
      <c r="G93" s="124" t="s">
        <v>40</v>
      </c>
      <c r="H93" s="124"/>
      <c r="I93" s="124"/>
      <c r="J93" s="124"/>
      <c r="K93" s="124"/>
      <c r="L93" s="124"/>
      <c r="M93" s="125"/>
      <c r="N93" s="125"/>
    </row>
    <row r="94" spans="2:15" s="126" customFormat="1" ht="24" customHeight="1" x14ac:dyDescent="0.3">
      <c r="B94" s="122"/>
      <c r="C94" s="123"/>
      <c r="D94" s="122"/>
      <c r="E94" s="122"/>
      <c r="F94" s="122"/>
      <c r="G94" s="122"/>
      <c r="H94" s="122"/>
      <c r="I94" s="122"/>
      <c r="J94" s="125"/>
      <c r="K94" s="122"/>
      <c r="L94" s="125"/>
      <c r="M94" s="125"/>
      <c r="N94" s="125"/>
    </row>
    <row r="95" spans="2:15" s="126" customFormat="1" ht="24" customHeight="1" x14ac:dyDescent="0.3">
      <c r="B95" s="122"/>
      <c r="C95" s="123"/>
      <c r="D95" s="122"/>
      <c r="E95" s="122"/>
      <c r="F95" s="122"/>
      <c r="G95" s="122"/>
      <c r="H95" s="122"/>
      <c r="I95" s="122"/>
      <c r="J95" s="125"/>
      <c r="K95" s="122"/>
      <c r="L95" s="125"/>
      <c r="M95" s="125"/>
      <c r="N95" s="125"/>
    </row>
    <row r="96" spans="2:15" s="126" customFormat="1" ht="24" customHeight="1" x14ac:dyDescent="0.3">
      <c r="B96" s="122"/>
      <c r="C96" s="123"/>
      <c r="D96" s="122"/>
      <c r="E96" s="122"/>
      <c r="F96" s="122"/>
      <c r="G96" s="122"/>
      <c r="H96" s="122"/>
      <c r="I96" s="122"/>
      <c r="J96" s="125"/>
      <c r="K96" s="122"/>
      <c r="L96" s="125"/>
      <c r="M96" s="125"/>
      <c r="N96" s="125"/>
    </row>
    <row r="97" spans="2:14" s="126" customFormat="1" ht="24" customHeight="1" x14ac:dyDescent="0.3">
      <c r="B97" s="122"/>
      <c r="C97" s="123"/>
      <c r="D97" s="122"/>
      <c r="E97" s="122"/>
      <c r="F97" s="122"/>
      <c r="G97" s="122"/>
      <c r="H97" s="122"/>
      <c r="I97" s="122"/>
      <c r="J97" s="125"/>
      <c r="K97" s="122"/>
      <c r="L97" s="125"/>
      <c r="M97" s="125"/>
      <c r="N97" s="125"/>
    </row>
    <row r="98" spans="2:14" s="126" customFormat="1" ht="24" customHeight="1" x14ac:dyDescent="0.3">
      <c r="B98" s="122"/>
      <c r="C98" s="123"/>
      <c r="D98" s="122"/>
      <c r="E98" s="122"/>
      <c r="F98" s="122"/>
      <c r="G98" s="122"/>
      <c r="H98" s="122"/>
      <c r="I98" s="122"/>
      <c r="J98" s="125"/>
      <c r="K98" s="122"/>
      <c r="L98" s="125"/>
      <c r="M98" s="125"/>
      <c r="N98" s="125"/>
    </row>
    <row r="99" spans="2:14" s="126" customFormat="1" ht="24" customHeight="1" x14ac:dyDescent="0.3">
      <c r="B99" s="122"/>
      <c r="C99" s="123"/>
      <c r="D99" s="122"/>
      <c r="E99" s="122"/>
      <c r="F99" s="122"/>
      <c r="G99" s="122"/>
      <c r="H99" s="122"/>
      <c r="I99" s="122"/>
      <c r="J99" s="125"/>
      <c r="K99" s="122"/>
      <c r="L99" s="125"/>
      <c r="M99" s="125"/>
      <c r="N99" s="125"/>
    </row>
    <row r="100" spans="2:14" s="126" customFormat="1" ht="24" customHeight="1" x14ac:dyDescent="0.3">
      <c r="B100" s="122"/>
      <c r="C100" s="123"/>
      <c r="D100" s="122"/>
      <c r="E100" s="122"/>
      <c r="F100" s="122"/>
      <c r="G100" s="122"/>
      <c r="H100" s="122"/>
      <c r="I100" s="122"/>
      <c r="J100" s="125"/>
      <c r="K100" s="122"/>
      <c r="L100" s="125"/>
      <c r="M100" s="125"/>
      <c r="N100" s="125"/>
    </row>
    <row r="101" spans="2:14" s="126" customFormat="1" ht="24" customHeight="1" x14ac:dyDescent="0.3">
      <c r="B101" s="122"/>
      <c r="C101" s="123"/>
      <c r="D101" s="122"/>
      <c r="E101" s="122"/>
      <c r="F101" s="122"/>
      <c r="G101" s="122"/>
      <c r="H101" s="122"/>
      <c r="I101" s="122"/>
      <c r="J101" s="125"/>
      <c r="K101" s="122"/>
      <c r="L101" s="125"/>
      <c r="M101" s="125"/>
      <c r="N101" s="125"/>
    </row>
    <row r="102" spans="2:14" s="126" customFormat="1" ht="24" customHeight="1" x14ac:dyDescent="0.3">
      <c r="B102" s="122"/>
      <c r="C102" s="123"/>
      <c r="D102" s="122"/>
      <c r="E102" s="122"/>
      <c r="F102" s="122"/>
      <c r="G102" s="122"/>
      <c r="H102" s="122"/>
      <c r="I102" s="122"/>
      <c r="J102" s="125"/>
      <c r="K102" s="122"/>
      <c r="L102" s="125"/>
      <c r="M102" s="125"/>
      <c r="N102" s="125"/>
    </row>
    <row r="103" spans="2:14" s="126" customFormat="1" ht="24" customHeight="1" x14ac:dyDescent="0.3">
      <c r="B103" s="122"/>
      <c r="C103" s="123"/>
      <c r="D103" s="122"/>
      <c r="E103" s="122"/>
      <c r="F103" s="122"/>
      <c r="G103" s="122"/>
      <c r="H103" s="122"/>
      <c r="I103" s="122"/>
      <c r="J103" s="125"/>
      <c r="K103" s="122"/>
      <c r="L103" s="125"/>
      <c r="M103" s="125"/>
      <c r="N103" s="125"/>
    </row>
    <row r="104" spans="2:14" s="126" customFormat="1" ht="24" customHeight="1" x14ac:dyDescent="0.3">
      <c r="B104" s="122"/>
      <c r="C104" s="123"/>
      <c r="D104" s="122"/>
      <c r="E104" s="122"/>
      <c r="F104" s="122"/>
      <c r="G104" s="122"/>
      <c r="H104" s="122"/>
      <c r="I104" s="122"/>
      <c r="J104" s="125"/>
      <c r="K104" s="122"/>
      <c r="L104" s="125"/>
      <c r="M104" s="125"/>
      <c r="N104" s="125"/>
    </row>
    <row r="105" spans="2:14" s="126" customFormat="1" ht="24" customHeight="1" x14ac:dyDescent="0.3">
      <c r="B105" s="122"/>
      <c r="C105" s="123"/>
      <c r="D105" s="122"/>
      <c r="E105" s="122"/>
      <c r="F105" s="122"/>
      <c r="G105" s="122"/>
      <c r="H105" s="122"/>
      <c r="I105" s="122"/>
      <c r="J105" s="125"/>
      <c r="K105" s="122"/>
      <c r="L105" s="125"/>
      <c r="M105" s="125"/>
      <c r="N105" s="125"/>
    </row>
    <row r="106" spans="2:14" s="126" customFormat="1" ht="61.25" customHeight="1" x14ac:dyDescent="0.3">
      <c r="B106" s="127" t="s">
        <v>41</v>
      </c>
      <c r="C106" s="127"/>
      <c r="D106" s="127"/>
      <c r="E106" s="127"/>
      <c r="F106" s="127"/>
      <c r="G106" s="127"/>
      <c r="H106" s="127"/>
      <c r="I106" s="127"/>
      <c r="J106" s="127"/>
      <c r="K106" s="127"/>
      <c r="L106" s="127"/>
      <c r="M106" s="125"/>
      <c r="N106" s="125"/>
    </row>
    <row r="107" spans="2:14" s="126" customFormat="1" ht="24" customHeight="1" x14ac:dyDescent="0.3">
      <c r="B107" s="122"/>
      <c r="C107" s="123"/>
      <c r="D107" s="122"/>
      <c r="E107" s="122"/>
      <c r="F107" s="122"/>
      <c r="G107" s="122"/>
      <c r="H107" s="122"/>
      <c r="I107" s="122"/>
      <c r="J107" s="125"/>
      <c r="K107" s="122"/>
      <c r="L107" s="125"/>
      <c r="M107" s="125"/>
      <c r="N107" s="125"/>
    </row>
    <row r="108" spans="2:14" s="126" customFormat="1" ht="44" customHeight="1" x14ac:dyDescent="0.3">
      <c r="B108" s="127" t="s">
        <v>42</v>
      </c>
      <c r="C108" s="127"/>
      <c r="D108" s="127"/>
      <c r="E108" s="127"/>
      <c r="F108" s="127"/>
      <c r="G108" s="127"/>
      <c r="H108" s="127"/>
      <c r="I108" s="127"/>
      <c r="J108" s="127"/>
      <c r="K108" s="127"/>
      <c r="L108" s="127"/>
      <c r="M108" s="127"/>
      <c r="N108" s="127"/>
    </row>
    <row r="109" spans="2:14" s="126" customFormat="1" ht="24" customHeight="1" x14ac:dyDescent="0.3">
      <c r="B109" s="122"/>
      <c r="C109" s="123"/>
      <c r="D109" s="123"/>
      <c r="E109" s="123"/>
      <c r="F109" s="123"/>
      <c r="G109" s="123"/>
      <c r="H109" s="123"/>
      <c r="I109" s="123"/>
      <c r="J109" s="123"/>
      <c r="K109" s="123"/>
      <c r="L109" s="123"/>
      <c r="M109" s="123"/>
      <c r="N109" s="123"/>
    </row>
    <row r="110" spans="2:14" s="126" customFormat="1" ht="61.25" customHeight="1" x14ac:dyDescent="0.3">
      <c r="B110" s="128" t="s">
        <v>43</v>
      </c>
      <c r="C110" s="128"/>
      <c r="D110" s="128"/>
      <c r="E110" s="128"/>
      <c r="F110" s="128"/>
      <c r="G110" s="128"/>
      <c r="H110" s="128"/>
      <c r="I110" s="128"/>
      <c r="J110" s="128"/>
      <c r="K110" s="128"/>
      <c r="L110" s="128"/>
      <c r="M110" s="128"/>
      <c r="N110" s="128"/>
    </row>
    <row r="111" spans="2:14" s="126" customFormat="1" ht="24" customHeight="1" x14ac:dyDescent="0.3">
      <c r="B111" s="122"/>
      <c r="C111" s="123"/>
      <c r="D111" s="129"/>
      <c r="E111" s="129"/>
      <c r="F111" s="129"/>
      <c r="G111" s="122"/>
      <c r="H111" s="122"/>
      <c r="I111" s="122"/>
      <c r="J111" s="125"/>
      <c r="K111" s="122"/>
      <c r="L111" s="125"/>
      <c r="M111" s="50"/>
      <c r="N111" s="50"/>
    </row>
    <row r="112" spans="2:14" s="126" customFormat="1" ht="125" customHeight="1" x14ac:dyDescent="0.3">
      <c r="B112" s="128" t="s">
        <v>44</v>
      </c>
      <c r="C112" s="128"/>
      <c r="D112" s="128"/>
      <c r="E112" s="128"/>
      <c r="F112" s="128"/>
      <c r="G112" s="128"/>
      <c r="H112" s="128"/>
      <c r="I112" s="128"/>
      <c r="J112" s="128"/>
      <c r="K112" s="128"/>
      <c r="L112" s="128"/>
      <c r="M112" s="128"/>
      <c r="N112" s="128"/>
    </row>
    <row r="113" spans="2:14" s="126" customFormat="1" ht="39" customHeight="1" x14ac:dyDescent="0.3">
      <c r="B113" s="122"/>
      <c r="C113" s="123"/>
      <c r="D113" s="129"/>
      <c r="E113" s="129"/>
      <c r="F113" s="129"/>
      <c r="G113" s="122"/>
      <c r="H113" s="122"/>
      <c r="I113" s="122"/>
      <c r="J113" s="125"/>
      <c r="K113" s="122"/>
      <c r="L113" s="125"/>
      <c r="M113" s="50"/>
      <c r="N113" s="50"/>
    </row>
    <row r="114" spans="2:14" s="126" customFormat="1" ht="24" customHeight="1" x14ac:dyDescent="0.3">
      <c r="B114" s="49" t="s">
        <v>45</v>
      </c>
      <c r="C114" s="123"/>
      <c r="D114" s="129"/>
      <c r="E114" s="129"/>
      <c r="F114" s="129"/>
      <c r="G114" s="122"/>
      <c r="H114" s="122"/>
      <c r="I114" s="122"/>
      <c r="J114" s="125"/>
      <c r="K114" s="122"/>
      <c r="L114" s="125"/>
      <c r="M114" s="50"/>
      <c r="N114" s="50"/>
    </row>
    <row r="115" spans="2:14" s="126" customFormat="1" ht="24" customHeight="1" thickBot="1" x14ac:dyDescent="0.35">
      <c r="B115" s="122"/>
      <c r="C115" s="123"/>
      <c r="D115" s="129"/>
      <c r="E115" s="129"/>
      <c r="F115" s="129"/>
      <c r="G115" s="122"/>
      <c r="H115" s="122"/>
      <c r="I115" s="122"/>
      <c r="J115" s="125"/>
      <c r="K115" s="122"/>
      <c r="L115" s="125"/>
      <c r="M115" s="50"/>
      <c r="N115" s="130"/>
    </row>
    <row r="116" spans="2:14" s="126" customFormat="1" ht="24" customHeight="1" thickBot="1" x14ac:dyDescent="0.35">
      <c r="B116" s="131" t="s">
        <v>46</v>
      </c>
      <c r="C116" s="123"/>
      <c r="D116" s="129"/>
      <c r="E116" s="129"/>
      <c r="F116" s="129"/>
      <c r="G116" s="122"/>
      <c r="H116" s="122"/>
      <c r="I116" s="122"/>
      <c r="J116" s="125"/>
      <c r="K116" s="122"/>
      <c r="L116" s="125"/>
      <c r="M116" s="50"/>
      <c r="N116" s="132"/>
    </row>
    <row r="117" spans="2:14" s="126" customFormat="1" ht="24" customHeight="1" x14ac:dyDescent="0.3">
      <c r="B117" s="122"/>
      <c r="C117" s="123"/>
      <c r="D117" s="133" t="s">
        <v>47</v>
      </c>
      <c r="E117" s="133"/>
      <c r="F117" s="133"/>
      <c r="G117" s="133"/>
      <c r="H117" s="133"/>
      <c r="I117" s="133"/>
      <c r="J117" s="133"/>
      <c r="K117" s="133"/>
      <c r="L117" s="133"/>
      <c r="M117" s="133"/>
      <c r="N117" s="130" t="s">
        <v>48</v>
      </c>
    </row>
    <row r="118" spans="2:14" s="126" customFormat="1" ht="24" customHeight="1" thickBot="1" x14ac:dyDescent="0.35">
      <c r="B118" s="122"/>
      <c r="C118" s="123"/>
      <c r="D118" s="129"/>
      <c r="E118" s="129"/>
      <c r="F118" s="129"/>
      <c r="G118" s="122"/>
      <c r="H118" s="122"/>
      <c r="I118" s="122"/>
      <c r="J118" s="125"/>
      <c r="K118" s="122"/>
      <c r="L118" s="125"/>
      <c r="M118" s="50"/>
      <c r="N118" s="130"/>
    </row>
    <row r="119" spans="2:14" s="126" customFormat="1" ht="24" customHeight="1" thickBot="1" x14ac:dyDescent="0.35">
      <c r="B119" s="122" t="s">
        <v>49</v>
      </c>
      <c r="C119" s="123"/>
      <c r="D119" s="129"/>
      <c r="E119" s="129"/>
      <c r="F119" s="129"/>
      <c r="G119" s="122"/>
      <c r="H119" s="122"/>
      <c r="I119" s="122"/>
      <c r="J119" s="125"/>
      <c r="K119" s="122"/>
      <c r="L119" s="125"/>
      <c r="M119" s="50"/>
      <c r="N119" s="132"/>
    </row>
    <row r="120" spans="2:14" s="126" customFormat="1" ht="24" customHeight="1" x14ac:dyDescent="0.3">
      <c r="B120" s="122"/>
      <c r="C120" s="123"/>
      <c r="D120" s="133" t="s">
        <v>50</v>
      </c>
      <c r="E120" s="133"/>
      <c r="F120" s="133"/>
      <c r="G120" s="133"/>
      <c r="H120" s="133"/>
      <c r="I120" s="133"/>
      <c r="J120" s="133"/>
      <c r="K120" s="133"/>
      <c r="L120" s="133"/>
      <c r="M120" s="133"/>
      <c r="N120" s="130" t="s">
        <v>48</v>
      </c>
    </row>
    <row r="121" spans="2:14" s="126" customFormat="1" ht="24" customHeight="1" x14ac:dyDescent="0.3">
      <c r="B121" s="122"/>
      <c r="C121" s="123"/>
      <c r="D121" s="129"/>
      <c r="E121" s="129"/>
      <c r="F121" s="129"/>
      <c r="G121" s="122"/>
      <c r="H121" s="122"/>
      <c r="I121" s="122"/>
      <c r="J121" s="125"/>
      <c r="K121" s="122"/>
      <c r="L121" s="125"/>
      <c r="M121" s="50"/>
      <c r="N121" s="130"/>
    </row>
    <row r="122" spans="2:14" s="126" customFormat="1" ht="24" customHeight="1" x14ac:dyDescent="0.3">
      <c r="B122" s="122"/>
      <c r="C122" s="123"/>
      <c r="D122" s="129"/>
      <c r="E122" s="129"/>
      <c r="F122" s="129"/>
      <c r="G122" s="122"/>
      <c r="H122" s="122"/>
      <c r="I122" s="122"/>
      <c r="J122" s="125"/>
      <c r="K122" s="122"/>
      <c r="L122" s="125"/>
      <c r="M122" s="50"/>
      <c r="N122" s="50"/>
    </row>
    <row r="123" spans="2:14" s="126" customFormat="1" ht="3" customHeight="1" x14ac:dyDescent="0.3">
      <c r="B123" s="122"/>
      <c r="C123" s="123"/>
      <c r="D123" s="129"/>
      <c r="E123" s="129"/>
      <c r="F123" s="129"/>
      <c r="G123" s="122"/>
      <c r="H123" s="122"/>
      <c r="I123" s="122"/>
      <c r="J123" s="125"/>
      <c r="K123" s="122"/>
      <c r="L123" s="125"/>
      <c r="M123" s="50"/>
      <c r="N123" s="50"/>
    </row>
    <row r="124" spans="2:14" s="126" customFormat="1" ht="24" hidden="1" customHeight="1" x14ac:dyDescent="0.3">
      <c r="B124" s="122"/>
      <c r="C124" s="123"/>
      <c r="D124" s="129"/>
      <c r="E124" s="129"/>
      <c r="F124" s="129"/>
      <c r="G124" s="122"/>
      <c r="H124" s="122"/>
      <c r="I124" s="122"/>
      <c r="J124" s="125"/>
      <c r="K124" s="122"/>
      <c r="L124" s="125"/>
      <c r="M124" s="50"/>
      <c r="N124" s="50"/>
    </row>
    <row r="125" spans="2:14" s="126" customFormat="1" ht="24" hidden="1" customHeight="1" x14ac:dyDescent="0.3">
      <c r="B125" s="122"/>
      <c r="C125" s="123"/>
      <c r="D125" s="129"/>
      <c r="E125" s="129"/>
      <c r="F125" s="129"/>
      <c r="G125" s="122"/>
      <c r="H125" s="122"/>
      <c r="I125" s="122"/>
      <c r="J125" s="125"/>
      <c r="K125" s="122"/>
      <c r="L125" s="125"/>
      <c r="M125" s="50"/>
      <c r="N125" s="50"/>
    </row>
    <row r="126" spans="2:14" s="126" customFormat="1" ht="24" hidden="1" customHeight="1" x14ac:dyDescent="0.3">
      <c r="B126" s="122"/>
      <c r="C126" s="123"/>
      <c r="D126" s="129"/>
      <c r="E126" s="129"/>
      <c r="F126" s="129"/>
      <c r="G126" s="122"/>
      <c r="H126" s="122"/>
      <c r="I126" s="122"/>
      <c r="J126" s="125"/>
      <c r="K126" s="122"/>
      <c r="L126" s="125"/>
      <c r="M126" s="50"/>
      <c r="N126" s="50"/>
    </row>
    <row r="127" spans="2:14" s="126" customFormat="1" ht="24" hidden="1" customHeight="1" x14ac:dyDescent="0.3">
      <c r="B127" s="122"/>
      <c r="C127" s="123"/>
      <c r="D127" s="129"/>
      <c r="E127" s="129"/>
      <c r="F127" s="129"/>
      <c r="G127" s="122"/>
      <c r="H127" s="122"/>
      <c r="I127" s="122"/>
      <c r="J127" s="125"/>
      <c r="K127" s="122"/>
      <c r="L127" s="125"/>
      <c r="M127" s="50"/>
      <c r="N127" s="50"/>
    </row>
    <row r="128" spans="2:14" s="126" customFormat="1" ht="24" customHeight="1" x14ac:dyDescent="0.3">
      <c r="B128" s="48" t="s">
        <v>51</v>
      </c>
      <c r="C128" s="134"/>
      <c r="D128" s="129"/>
      <c r="E128" s="129"/>
      <c r="F128" s="129"/>
      <c r="G128" s="122"/>
      <c r="H128" s="122"/>
      <c r="I128" s="122"/>
      <c r="J128" s="125"/>
      <c r="K128" s="122"/>
      <c r="L128" s="125"/>
      <c r="M128" s="50"/>
      <c r="N128" s="125"/>
    </row>
    <row r="129" spans="2:14" s="126" customFormat="1" ht="64.25" customHeight="1" x14ac:dyDescent="0.3">
      <c r="B129" s="128" t="s">
        <v>52</v>
      </c>
      <c r="C129" s="128"/>
      <c r="D129" s="128"/>
      <c r="E129" s="128"/>
      <c r="F129" s="128"/>
      <c r="G129" s="128"/>
      <c r="H129" s="128"/>
      <c r="I129" s="128"/>
      <c r="J129" s="128"/>
      <c r="K129" s="128"/>
      <c r="L129" s="128"/>
      <c r="M129" s="128"/>
      <c r="N129" s="128"/>
    </row>
    <row r="130" spans="2:14" s="126" customFormat="1" ht="14" customHeight="1" x14ac:dyDescent="0.3">
      <c r="B130" s="122"/>
      <c r="C130" s="127"/>
      <c r="D130" s="127"/>
      <c r="E130" s="127"/>
      <c r="F130" s="127"/>
      <c r="G130" s="127"/>
      <c r="H130" s="127"/>
      <c r="I130" s="127"/>
      <c r="J130" s="127"/>
      <c r="K130" s="127"/>
      <c r="L130" s="127"/>
      <c r="M130" s="125"/>
      <c r="N130" s="125"/>
    </row>
    <row r="131" spans="2:14" s="126" customFormat="1" ht="24" customHeight="1" x14ac:dyDescent="0.3">
      <c r="B131" s="48" t="s">
        <v>53</v>
      </c>
      <c r="C131" s="134"/>
      <c r="D131" s="123"/>
      <c r="E131" s="123"/>
      <c r="F131" s="123"/>
      <c r="G131" s="123"/>
      <c r="H131" s="123"/>
      <c r="I131" s="123"/>
      <c r="J131" s="125"/>
      <c r="K131" s="122"/>
      <c r="L131" s="125"/>
      <c r="M131" s="125"/>
      <c r="N131" s="125"/>
    </row>
    <row r="132" spans="2:14" s="126" customFormat="1" ht="63" customHeight="1" x14ac:dyDescent="0.3">
      <c r="B132" s="128" t="s">
        <v>54</v>
      </c>
      <c r="C132" s="128"/>
      <c r="D132" s="128"/>
      <c r="E132" s="128"/>
      <c r="F132" s="128"/>
      <c r="G132" s="128"/>
      <c r="H132" s="128"/>
      <c r="I132" s="128"/>
      <c r="J132" s="128"/>
      <c r="K132" s="128"/>
      <c r="L132" s="128"/>
      <c r="M132" s="128"/>
      <c r="N132" s="128"/>
    </row>
    <row r="133" spans="2:14" s="126" customFormat="1" ht="60.5" customHeight="1" x14ac:dyDescent="0.3">
      <c r="B133" s="128" t="s">
        <v>55</v>
      </c>
      <c r="C133" s="128"/>
      <c r="D133" s="128"/>
      <c r="E133" s="128"/>
      <c r="F133" s="128"/>
      <c r="G133" s="128"/>
      <c r="H133" s="128"/>
      <c r="I133" s="128"/>
      <c r="J133" s="128"/>
      <c r="K133" s="128"/>
      <c r="L133" s="128"/>
      <c r="M133" s="128"/>
      <c r="N133" s="128"/>
    </row>
    <row r="134" spans="2:14" s="126" customFormat="1" ht="24" customHeight="1" x14ac:dyDescent="0.3">
      <c r="B134" s="122"/>
      <c r="C134" s="123"/>
      <c r="D134" s="123"/>
      <c r="E134" s="123"/>
      <c r="F134" s="123"/>
      <c r="G134" s="123"/>
      <c r="H134" s="123"/>
      <c r="I134" s="123"/>
      <c r="J134" s="125"/>
      <c r="K134" s="122"/>
      <c r="L134" s="125"/>
      <c r="M134" s="125"/>
      <c r="N134" s="125"/>
    </row>
    <row r="135" spans="2:14" s="126" customFormat="1" ht="53" customHeight="1" x14ac:dyDescent="0.3">
      <c r="B135" s="128" t="s">
        <v>56</v>
      </c>
      <c r="C135" s="128"/>
      <c r="D135" s="128"/>
      <c r="E135" s="128"/>
      <c r="F135" s="128"/>
      <c r="G135" s="128"/>
      <c r="H135" s="128"/>
      <c r="I135" s="128"/>
      <c r="J135" s="128"/>
      <c r="K135" s="128"/>
      <c r="L135" s="128"/>
      <c r="M135" s="128"/>
      <c r="N135" s="128"/>
    </row>
    <row r="136" spans="2:14" s="126" customFormat="1" ht="14" customHeight="1" x14ac:dyDescent="0.3">
      <c r="B136" s="122"/>
      <c r="C136" s="123"/>
      <c r="D136" s="129"/>
      <c r="E136" s="129"/>
      <c r="F136" s="129"/>
      <c r="G136" s="122"/>
      <c r="H136" s="122"/>
      <c r="I136" s="122"/>
      <c r="J136" s="125"/>
      <c r="K136" s="122"/>
      <c r="L136" s="125"/>
      <c r="M136" s="125"/>
      <c r="N136" s="125"/>
    </row>
    <row r="137" spans="2:14" s="126" customFormat="1" ht="24" customHeight="1" x14ac:dyDescent="0.3">
      <c r="B137" s="127" t="s">
        <v>57</v>
      </c>
      <c r="C137" s="127"/>
      <c r="D137" s="127"/>
      <c r="E137" s="127"/>
      <c r="F137" s="127"/>
      <c r="G137" s="127"/>
      <c r="H137" s="127"/>
      <c r="I137" s="127"/>
      <c r="J137" s="127"/>
      <c r="K137" s="127"/>
      <c r="L137" s="127"/>
      <c r="M137" s="125"/>
      <c r="N137" s="125"/>
    </row>
    <row r="138" spans="2:14" s="126" customFormat="1" ht="37.25" customHeight="1" x14ac:dyDescent="0.3">
      <c r="B138" s="128" t="s">
        <v>58</v>
      </c>
      <c r="C138" s="128"/>
      <c r="D138" s="128"/>
      <c r="E138" s="128"/>
      <c r="F138" s="128"/>
      <c r="G138" s="128"/>
      <c r="H138" s="128"/>
      <c r="I138" s="128"/>
      <c r="J138" s="128"/>
      <c r="K138" s="128"/>
      <c r="L138" s="128"/>
      <c r="M138" s="128"/>
      <c r="N138" s="128"/>
    </row>
    <row r="139" spans="2:14" s="126" customFormat="1" ht="61.25" customHeight="1" x14ac:dyDescent="0.3">
      <c r="B139" s="135" t="s">
        <v>59</v>
      </c>
      <c r="C139" s="135"/>
      <c r="D139" s="135"/>
      <c r="E139" s="135"/>
      <c r="F139" s="135"/>
      <c r="G139" s="135"/>
      <c r="H139" s="135"/>
      <c r="I139" s="135"/>
      <c r="J139" s="135"/>
      <c r="K139" s="135"/>
      <c r="L139" s="135"/>
      <c r="M139" s="135"/>
      <c r="N139" s="135"/>
    </row>
    <row r="140" spans="2:14" s="126" customFormat="1" ht="31.25" customHeight="1" x14ac:dyDescent="0.3">
      <c r="B140" s="48" t="s">
        <v>60</v>
      </c>
      <c r="C140" s="134"/>
      <c r="D140" s="123"/>
      <c r="E140" s="123"/>
      <c r="F140" s="123"/>
      <c r="G140" s="123"/>
      <c r="H140" s="123"/>
      <c r="I140" s="123"/>
      <c r="J140" s="123"/>
      <c r="K140" s="123"/>
      <c r="L140" s="123"/>
      <c r="M140" s="125"/>
      <c r="N140" s="125"/>
    </row>
    <row r="141" spans="2:14" s="126" customFormat="1" ht="56" customHeight="1" x14ac:dyDescent="0.3">
      <c r="B141" s="128" t="s">
        <v>61</v>
      </c>
      <c r="C141" s="128"/>
      <c r="D141" s="128"/>
      <c r="E141" s="128"/>
      <c r="F141" s="128"/>
      <c r="G141" s="128"/>
      <c r="H141" s="128"/>
      <c r="I141" s="128"/>
      <c r="J141" s="128"/>
      <c r="K141" s="128"/>
      <c r="L141" s="128"/>
      <c r="M141" s="128"/>
      <c r="N141" s="128"/>
    </row>
    <row r="142" spans="2:14" s="126" customFormat="1" ht="24" customHeight="1" x14ac:dyDescent="0.3">
      <c r="B142" s="122"/>
      <c r="C142" s="127"/>
      <c r="D142" s="127"/>
      <c r="E142" s="127"/>
      <c r="F142" s="127"/>
      <c r="G142" s="127"/>
      <c r="H142" s="127"/>
      <c r="I142" s="127"/>
      <c r="J142" s="127"/>
      <c r="K142" s="127"/>
      <c r="L142" s="127"/>
      <c r="M142" s="125"/>
      <c r="N142" s="125"/>
    </row>
    <row r="143" spans="2:14" s="62" customFormat="1" ht="37.25" customHeight="1" x14ac:dyDescent="0.3">
      <c r="B143" s="136" t="s">
        <v>62</v>
      </c>
      <c r="C143" s="136"/>
      <c r="D143" s="137"/>
      <c r="E143" s="137"/>
      <c r="F143" s="137"/>
      <c r="G143" s="72"/>
      <c r="H143" s="72"/>
      <c r="I143" s="72"/>
      <c r="J143" s="121"/>
      <c r="K143" s="72"/>
      <c r="L143" s="121"/>
      <c r="M143" s="121"/>
      <c r="N143" s="121"/>
    </row>
    <row r="144" spans="2:14" s="62" customFormat="1" ht="24" customHeight="1" x14ac:dyDescent="0.3">
      <c r="B144" s="72"/>
      <c r="C144" s="138"/>
      <c r="D144" s="138"/>
      <c r="E144" s="138"/>
      <c r="F144" s="138"/>
      <c r="G144" s="138"/>
      <c r="H144" s="138"/>
      <c r="I144" s="138"/>
      <c r="J144" s="138"/>
      <c r="K144" s="138"/>
      <c r="L144" s="138"/>
      <c r="M144" s="138"/>
      <c r="N144" s="138"/>
    </row>
    <row r="145" spans="2:14" s="140" customFormat="1" ht="24" customHeight="1" x14ac:dyDescent="0.3">
      <c r="B145" s="139" t="s">
        <v>63</v>
      </c>
      <c r="C145" s="139"/>
      <c r="D145" s="139"/>
      <c r="E145" s="139"/>
      <c r="F145" s="139"/>
      <c r="G145" s="139"/>
      <c r="H145" s="139"/>
      <c r="I145" s="139"/>
      <c r="J145" s="139"/>
      <c r="K145" s="139"/>
      <c r="L145" s="139"/>
      <c r="M145" s="139"/>
      <c r="N145" s="139"/>
    </row>
    <row r="146" spans="2:14" s="140" customFormat="1" ht="59.75" customHeight="1" x14ac:dyDescent="0.3">
      <c r="B146" s="141" t="s">
        <v>64</v>
      </c>
      <c r="C146" s="141"/>
      <c r="D146" s="141"/>
      <c r="E146" s="141"/>
      <c r="F146" s="141"/>
      <c r="G146" s="141"/>
      <c r="H146" s="141"/>
      <c r="I146" s="141"/>
      <c r="J146" s="141"/>
      <c r="K146" s="141"/>
      <c r="L146" s="141"/>
      <c r="M146" s="141"/>
      <c r="N146" s="141"/>
    </row>
    <row r="147" spans="2:14" s="140" customFormat="1" ht="89" customHeight="1" x14ac:dyDescent="0.3">
      <c r="B147" s="120"/>
      <c r="C147" s="142" t="s">
        <v>65</v>
      </c>
      <c r="D147" s="143" t="s">
        <v>66</v>
      </c>
      <c r="E147" s="143"/>
      <c r="F147" s="143"/>
      <c r="G147" s="143"/>
      <c r="H147" s="143"/>
      <c r="I147" s="143"/>
      <c r="J147" s="143"/>
      <c r="K147" s="143"/>
      <c r="L147" s="143"/>
      <c r="M147" s="143"/>
      <c r="N147" s="144"/>
    </row>
    <row r="148" spans="2:14" s="140" customFormat="1" ht="70.25" customHeight="1" x14ac:dyDescent="0.3">
      <c r="B148" s="120"/>
      <c r="C148" s="142" t="s">
        <v>67</v>
      </c>
      <c r="D148" s="143" t="s">
        <v>68</v>
      </c>
      <c r="E148" s="143"/>
      <c r="F148" s="143"/>
      <c r="G148" s="143"/>
      <c r="H148" s="143"/>
      <c r="I148" s="143"/>
      <c r="J148" s="143"/>
      <c r="K148" s="143"/>
      <c r="L148" s="143"/>
      <c r="M148" s="143"/>
      <c r="N148" s="144"/>
    </row>
    <row r="149" spans="2:14" s="140" customFormat="1" ht="61.25" customHeight="1" x14ac:dyDescent="0.3">
      <c r="B149" s="120"/>
      <c r="C149" s="142" t="s">
        <v>69</v>
      </c>
      <c r="D149" s="143" t="s">
        <v>70</v>
      </c>
      <c r="E149" s="143"/>
      <c r="F149" s="143"/>
      <c r="G149" s="143"/>
      <c r="H149" s="143"/>
      <c r="I149" s="143"/>
      <c r="J149" s="143"/>
      <c r="K149" s="143"/>
      <c r="L149" s="143"/>
      <c r="M149" s="143"/>
      <c r="N149" s="145"/>
    </row>
    <row r="150" spans="2:14" s="140" customFormat="1" ht="67.25" customHeight="1" x14ac:dyDescent="0.3">
      <c r="B150" s="120"/>
      <c r="C150" s="142" t="s">
        <v>71</v>
      </c>
      <c r="D150" s="143" t="s">
        <v>72</v>
      </c>
      <c r="E150" s="143"/>
      <c r="F150" s="143"/>
      <c r="G150" s="143"/>
      <c r="H150" s="143"/>
      <c r="I150" s="143"/>
      <c r="J150" s="143"/>
      <c r="K150" s="143"/>
      <c r="L150" s="143"/>
      <c r="M150" s="143"/>
      <c r="N150" s="144"/>
    </row>
    <row r="151" spans="2:14" s="140" customFormat="1" ht="113" customHeight="1" x14ac:dyDescent="0.3">
      <c r="B151" s="120"/>
      <c r="C151" s="142" t="s">
        <v>73</v>
      </c>
      <c r="D151" s="143" t="s">
        <v>74</v>
      </c>
      <c r="E151" s="143"/>
      <c r="F151" s="143"/>
      <c r="G151" s="143"/>
      <c r="H151" s="143"/>
      <c r="I151" s="143"/>
      <c r="J151" s="143"/>
      <c r="K151" s="143"/>
      <c r="L151" s="143"/>
      <c r="M151" s="143"/>
      <c r="N151" s="144"/>
    </row>
    <row r="152" spans="2:14" s="140" customFormat="1" ht="134" customHeight="1" x14ac:dyDescent="0.3">
      <c r="B152" s="120"/>
      <c r="C152" s="142" t="s">
        <v>75</v>
      </c>
      <c r="D152" s="143" t="s">
        <v>76</v>
      </c>
      <c r="E152" s="143"/>
      <c r="F152" s="143"/>
      <c r="G152" s="143"/>
      <c r="H152" s="143"/>
      <c r="I152" s="143"/>
      <c r="J152" s="143"/>
      <c r="K152" s="143"/>
      <c r="L152" s="143"/>
      <c r="M152" s="143"/>
      <c r="N152" s="146" t="s">
        <v>77</v>
      </c>
    </row>
    <row r="153" spans="2:14" s="62" customFormat="1" ht="59.75" customHeight="1" x14ac:dyDescent="0.3">
      <c r="B153" s="147" t="s">
        <v>78</v>
      </c>
      <c r="C153" s="147"/>
      <c r="D153" s="148" t="s">
        <v>79</v>
      </c>
      <c r="E153" s="148"/>
      <c r="F153" s="148"/>
      <c r="G153" s="147"/>
      <c r="H153" s="147"/>
      <c r="I153" s="147"/>
      <c r="J153" s="147"/>
      <c r="K153" s="147"/>
      <c r="L153" s="147"/>
      <c r="M153" s="148"/>
      <c r="N153" s="148"/>
    </row>
    <row r="154" spans="2:14" s="62" customFormat="1" ht="206" customHeight="1" x14ac:dyDescent="0.3">
      <c r="B154" s="72"/>
      <c r="C154" s="149" t="s">
        <v>80</v>
      </c>
      <c r="D154" s="150" t="e">
        <f>VLOOKUP(C154,[1]!Table2[#All],2,FALSE)</f>
        <v>#N/A</v>
      </c>
      <c r="E154" s="151"/>
      <c r="F154" s="151"/>
      <c r="G154" s="151"/>
      <c r="H154" s="151"/>
      <c r="I154" s="151"/>
      <c r="J154" s="151"/>
      <c r="K154" s="151"/>
      <c r="L154" s="151"/>
      <c r="M154" s="152"/>
      <c r="N154" s="153" t="s">
        <v>77</v>
      </c>
    </row>
    <row r="155" spans="2:14" s="62" customFormat="1" ht="206" customHeight="1" x14ac:dyDescent="0.3">
      <c r="B155" s="72"/>
      <c r="C155" s="149"/>
      <c r="D155" s="150" t="e">
        <f>VLOOKUP(C155,[1]!Table2[#All],2,FALSE)</f>
        <v>#N/A</v>
      </c>
      <c r="E155" s="151"/>
      <c r="F155" s="151"/>
      <c r="G155" s="151"/>
      <c r="H155" s="151"/>
      <c r="I155" s="151"/>
      <c r="J155" s="151"/>
      <c r="K155" s="151"/>
      <c r="L155" s="151"/>
      <c r="M155" s="152"/>
      <c r="N155" s="153" t="s">
        <v>77</v>
      </c>
    </row>
    <row r="156" spans="2:14" s="62" customFormat="1" ht="206" customHeight="1" x14ac:dyDescent="0.3">
      <c r="B156" s="72"/>
      <c r="C156" s="149"/>
      <c r="D156" s="150" t="e">
        <f>VLOOKUP(C156,[1]!Table2[#All],2,FALSE)</f>
        <v>#N/A</v>
      </c>
      <c r="E156" s="151"/>
      <c r="F156" s="151"/>
      <c r="G156" s="151"/>
      <c r="H156" s="151"/>
      <c r="I156" s="151"/>
      <c r="J156" s="151"/>
      <c r="K156" s="151"/>
      <c r="L156" s="151"/>
      <c r="M156" s="152"/>
      <c r="N156" s="153" t="s">
        <v>77</v>
      </c>
    </row>
    <row r="157" spans="2:14" s="62" customFormat="1" ht="206" customHeight="1" x14ac:dyDescent="0.3">
      <c r="B157" s="72"/>
      <c r="C157" s="149"/>
      <c r="D157" s="150" t="e">
        <f>VLOOKUP(C157,[1]!Table2[#All],2,FALSE)</f>
        <v>#N/A</v>
      </c>
      <c r="E157" s="151"/>
      <c r="F157" s="151"/>
      <c r="G157" s="151"/>
      <c r="H157" s="151"/>
      <c r="I157" s="151"/>
      <c r="J157" s="151"/>
      <c r="K157" s="151"/>
      <c r="L157" s="151"/>
      <c r="M157" s="152"/>
      <c r="N157" s="153" t="s">
        <v>77</v>
      </c>
    </row>
    <row r="158" spans="2:14" s="62" customFormat="1" ht="206" customHeight="1" x14ac:dyDescent="0.3">
      <c r="B158" s="72"/>
      <c r="C158" s="149"/>
      <c r="D158" s="150" t="e">
        <f>VLOOKUP(C158,[1]!Table2[#All],2,FALSE)</f>
        <v>#N/A</v>
      </c>
      <c r="E158" s="151"/>
      <c r="F158" s="151"/>
      <c r="G158" s="151"/>
      <c r="H158" s="151"/>
      <c r="I158" s="151"/>
      <c r="J158" s="151"/>
      <c r="K158" s="151"/>
      <c r="L158" s="151"/>
      <c r="M158" s="152"/>
      <c r="N158" s="153" t="s">
        <v>77</v>
      </c>
    </row>
    <row r="159" spans="2:14" s="62" customFormat="1" ht="206" customHeight="1" x14ac:dyDescent="0.3">
      <c r="B159" s="72"/>
      <c r="C159" s="149"/>
      <c r="D159" s="150" t="e">
        <f>VLOOKUP(C159,[1]!Table2[#All],2,FALSE)</f>
        <v>#N/A</v>
      </c>
      <c r="E159" s="151"/>
      <c r="F159" s="151"/>
      <c r="G159" s="151"/>
      <c r="H159" s="151"/>
      <c r="I159" s="151"/>
      <c r="J159" s="151"/>
      <c r="K159" s="151"/>
      <c r="L159" s="151"/>
      <c r="M159" s="152"/>
      <c r="N159" s="153" t="s">
        <v>77</v>
      </c>
    </row>
    <row r="160" spans="2:14" s="62" customFormat="1" ht="59.75" customHeight="1" x14ac:dyDescent="0.3">
      <c r="B160" s="72"/>
      <c r="C160" s="142"/>
      <c r="D160" s="144"/>
      <c r="E160" s="144"/>
      <c r="F160" s="144"/>
      <c r="G160" s="142"/>
      <c r="H160" s="142"/>
      <c r="I160" s="142"/>
      <c r="J160" s="142"/>
      <c r="K160" s="142"/>
      <c r="L160" s="154"/>
      <c r="M160" s="155"/>
      <c r="N160" s="156"/>
    </row>
    <row r="161" spans="2:14" s="126" customFormat="1" ht="24" customHeight="1" x14ac:dyDescent="0.3">
      <c r="B161" s="122"/>
      <c r="C161" s="123"/>
      <c r="D161" s="123"/>
      <c r="E161" s="123"/>
      <c r="F161" s="123"/>
      <c r="G161" s="123"/>
      <c r="H161" s="123"/>
      <c r="I161" s="123"/>
      <c r="J161" s="123"/>
      <c r="K161" s="123"/>
      <c r="L161" s="123"/>
      <c r="M161" s="125"/>
      <c r="N161" s="125"/>
    </row>
    <row r="162" spans="2:14" s="126" customFormat="1" ht="24" customHeight="1" x14ac:dyDescent="0.3">
      <c r="B162" s="122"/>
      <c r="C162" s="123" t="s">
        <v>81</v>
      </c>
      <c r="D162" s="123" t="s">
        <v>82</v>
      </c>
      <c r="E162" s="123"/>
      <c r="F162" s="123"/>
      <c r="G162" s="123"/>
      <c r="H162" s="123" t="s">
        <v>83</v>
      </c>
      <c r="I162" s="123"/>
      <c r="J162" s="123"/>
      <c r="K162" s="123"/>
      <c r="L162" s="123"/>
      <c r="M162" s="125"/>
      <c r="N162" s="125"/>
    </row>
    <row r="163" spans="2:14" s="126" customFormat="1" ht="24" customHeight="1" x14ac:dyDescent="0.3">
      <c r="B163" s="122"/>
      <c r="C163" s="123"/>
      <c r="D163" s="123"/>
      <c r="E163" s="123"/>
      <c r="F163" s="123"/>
      <c r="G163" s="123"/>
      <c r="H163" s="123"/>
      <c r="I163" s="123"/>
      <c r="J163" s="123"/>
      <c r="K163" s="123"/>
      <c r="L163" s="123"/>
      <c r="M163" s="125"/>
      <c r="N163" s="125"/>
    </row>
    <row r="164" spans="2:14" s="126" customFormat="1" ht="24" customHeight="1" x14ac:dyDescent="0.3">
      <c r="B164" s="122"/>
      <c r="C164" s="123"/>
      <c r="D164" s="123"/>
      <c r="E164" s="123"/>
      <c r="F164" s="123"/>
      <c r="G164" s="123"/>
      <c r="H164" s="123"/>
      <c r="I164" s="123"/>
      <c r="J164" s="123"/>
      <c r="K164" s="123"/>
      <c r="L164" s="123"/>
      <c r="M164" s="125"/>
      <c r="N164" s="125"/>
    </row>
    <row r="165" spans="2:14" s="126" customFormat="1" ht="24" customHeight="1" x14ac:dyDescent="0.3">
      <c r="B165" s="122"/>
      <c r="C165" s="123" t="s">
        <v>84</v>
      </c>
      <c r="D165" s="123"/>
      <c r="E165" s="123"/>
      <c r="F165" s="123"/>
      <c r="G165" s="123"/>
      <c r="H165" s="123"/>
      <c r="I165" s="123"/>
      <c r="J165" s="123"/>
      <c r="K165" s="123"/>
      <c r="L165" s="123"/>
      <c r="M165" s="125"/>
      <c r="N165" s="125"/>
    </row>
    <row r="166" spans="2:14" s="126" customFormat="1" ht="24" customHeight="1" x14ac:dyDescent="0.3">
      <c r="B166" s="122"/>
      <c r="C166" s="123"/>
      <c r="D166" s="123"/>
      <c r="E166" s="123"/>
      <c r="F166" s="123"/>
      <c r="G166" s="123"/>
      <c r="H166" s="123"/>
      <c r="I166" s="123"/>
      <c r="J166" s="123"/>
      <c r="K166" s="123"/>
      <c r="L166" s="123"/>
      <c r="M166" s="125"/>
      <c r="N166" s="125"/>
    </row>
    <row r="167" spans="2:14" s="126" customFormat="1" ht="24" customHeight="1" x14ac:dyDescent="0.3">
      <c r="B167" s="122"/>
      <c r="C167" s="123"/>
      <c r="D167" s="123"/>
      <c r="E167" s="123"/>
      <c r="F167" s="123"/>
      <c r="G167" s="123"/>
      <c r="H167" s="123"/>
      <c r="I167" s="123"/>
      <c r="J167" s="123"/>
      <c r="K167" s="123"/>
      <c r="L167" s="123"/>
      <c r="M167" s="125"/>
      <c r="N167" s="125"/>
    </row>
    <row r="168" spans="2:14" s="126" customFormat="1" ht="24" customHeight="1" x14ac:dyDescent="0.3">
      <c r="B168" s="122"/>
      <c r="C168" s="123" t="s">
        <v>6</v>
      </c>
      <c r="D168" s="123" t="s">
        <v>82</v>
      </c>
      <c r="E168" s="123"/>
      <c r="F168" s="123"/>
      <c r="G168" s="123"/>
      <c r="H168" s="123"/>
      <c r="I168" s="123"/>
      <c r="J168" s="123"/>
      <c r="K168" s="123"/>
      <c r="L168" s="123"/>
      <c r="M168" s="125"/>
      <c r="N168" s="125"/>
    </row>
    <row r="169" spans="2:14" s="126" customFormat="1" ht="24" customHeight="1" x14ac:dyDescent="0.3">
      <c r="B169" s="122"/>
      <c r="C169" s="123"/>
      <c r="D169" s="123"/>
      <c r="E169" s="123"/>
      <c r="F169" s="123"/>
      <c r="G169" s="123"/>
      <c r="H169" s="123"/>
      <c r="I169" s="123"/>
      <c r="J169" s="123"/>
      <c r="K169" s="123"/>
      <c r="L169" s="123"/>
      <c r="M169" s="125"/>
      <c r="N169" s="125"/>
    </row>
    <row r="170" spans="2:14" s="126" customFormat="1" ht="24" customHeight="1" x14ac:dyDescent="0.3">
      <c r="B170" s="122"/>
      <c r="C170" s="123"/>
      <c r="D170" s="123"/>
      <c r="E170" s="123"/>
      <c r="F170" s="123"/>
      <c r="G170" s="123"/>
      <c r="H170" s="123"/>
      <c r="I170" s="123"/>
      <c r="J170" s="123"/>
      <c r="K170" s="123"/>
      <c r="L170" s="123"/>
      <c r="M170" s="125"/>
      <c r="N170" s="125"/>
    </row>
    <row r="171" spans="2:14" s="126" customFormat="1" ht="24" customHeight="1" x14ac:dyDescent="0.3">
      <c r="B171" s="122"/>
      <c r="C171" s="123"/>
      <c r="D171" s="123"/>
      <c r="E171" s="123"/>
      <c r="F171" s="123"/>
      <c r="G171" s="123"/>
      <c r="H171" s="157"/>
      <c r="I171" s="157"/>
      <c r="J171" s="157" t="s">
        <v>85</v>
      </c>
      <c r="K171" s="123"/>
      <c r="L171" s="123"/>
      <c r="M171" s="125"/>
      <c r="N171" s="125"/>
    </row>
    <row r="172" spans="2:14" s="126" customFormat="1" ht="24" customHeight="1" x14ac:dyDescent="0.3">
      <c r="B172" s="122"/>
      <c r="C172" s="123" t="s">
        <v>86</v>
      </c>
      <c r="D172" s="123"/>
      <c r="E172" s="123"/>
      <c r="F172" s="123"/>
      <c r="G172" s="123"/>
      <c r="H172" s="123"/>
      <c r="I172" s="123"/>
      <c r="J172" s="123" t="s">
        <v>87</v>
      </c>
      <c r="K172" s="123" t="s">
        <v>88</v>
      </c>
      <c r="L172" s="123"/>
      <c r="M172" s="125"/>
      <c r="N172" s="125"/>
    </row>
    <row r="173" spans="2:14" s="126" customFormat="1" ht="24" customHeight="1" x14ac:dyDescent="0.3">
      <c r="B173" s="122"/>
      <c r="C173" s="123"/>
      <c r="D173" s="123"/>
      <c r="E173" s="123"/>
      <c r="F173" s="123"/>
      <c r="G173" s="123"/>
      <c r="H173" s="123"/>
      <c r="I173" s="123"/>
      <c r="J173" s="123" t="s">
        <v>89</v>
      </c>
      <c r="K173" s="123">
        <v>255655</v>
      </c>
      <c r="L173" s="123"/>
      <c r="M173" s="125"/>
      <c r="N173" s="125"/>
    </row>
    <row r="174" spans="2:14" s="126" customFormat="1" ht="24" customHeight="1" x14ac:dyDescent="0.3">
      <c r="B174" s="122"/>
      <c r="C174" s="123"/>
      <c r="D174" s="123"/>
      <c r="E174" s="123"/>
      <c r="F174" s="123"/>
      <c r="G174" s="123"/>
      <c r="H174" s="123"/>
      <c r="I174" s="123"/>
      <c r="J174" s="158" t="s">
        <v>90</v>
      </c>
      <c r="K174" s="123" t="s">
        <v>91</v>
      </c>
      <c r="L174" s="123"/>
      <c r="M174" s="125"/>
      <c r="N174" s="125"/>
    </row>
    <row r="175" spans="2:14" s="126" customFormat="1" ht="24" customHeight="1" x14ac:dyDescent="0.3">
      <c r="B175" s="122"/>
      <c r="C175" s="123"/>
      <c r="D175" s="123"/>
      <c r="E175" s="123"/>
      <c r="F175" s="123"/>
      <c r="G175" s="123"/>
      <c r="H175" s="123"/>
      <c r="I175" s="123"/>
      <c r="J175" s="123" t="s">
        <v>92</v>
      </c>
      <c r="K175" s="127">
        <v>62695604176</v>
      </c>
      <c r="L175" s="127"/>
      <c r="M175" s="127"/>
      <c r="N175" s="125"/>
    </row>
    <row r="176" spans="2:14" s="126" customFormat="1" ht="24" customHeight="1" x14ac:dyDescent="0.3">
      <c r="B176" s="122"/>
      <c r="C176" s="124"/>
      <c r="D176" s="124"/>
      <c r="E176" s="124"/>
      <c r="F176" s="123"/>
      <c r="G176" s="123"/>
      <c r="H176" s="123"/>
      <c r="I176" s="123"/>
      <c r="J176" s="123" t="s">
        <v>93</v>
      </c>
      <c r="K176" s="123" t="s">
        <v>94</v>
      </c>
      <c r="L176" s="123"/>
      <c r="M176" s="125"/>
      <c r="N176" s="125"/>
    </row>
    <row r="177" spans="2:14" s="126" customFormat="1" ht="51" customHeight="1" x14ac:dyDescent="0.8">
      <c r="B177" s="122"/>
      <c r="C177" s="159" t="s">
        <v>95</v>
      </c>
      <c r="D177" s="159"/>
      <c r="E177" s="159"/>
      <c r="F177" s="123"/>
      <c r="G177" s="123"/>
      <c r="H177" s="123"/>
      <c r="I177" s="123"/>
      <c r="J177" s="123"/>
      <c r="K177" s="123"/>
      <c r="L177" s="123"/>
      <c r="M177" s="125"/>
      <c r="N177" s="125"/>
    </row>
    <row r="178" spans="2:14" s="126" customFormat="1" ht="24" customHeight="1" x14ac:dyDescent="0.3">
      <c r="B178" s="122"/>
      <c r="C178" s="160" t="s">
        <v>96</v>
      </c>
      <c r="D178" s="160"/>
      <c r="E178" s="160"/>
      <c r="F178" s="123"/>
      <c r="G178" s="123"/>
      <c r="H178" s="123"/>
      <c r="I178" s="123"/>
      <c r="J178" s="123" t="s">
        <v>97</v>
      </c>
      <c r="K178" s="123" t="s">
        <v>98</v>
      </c>
      <c r="L178" s="123"/>
      <c r="M178" s="125"/>
      <c r="N178" s="125"/>
    </row>
  </sheetData>
  <mergeCells count="125">
    <mergeCell ref="C176:E176"/>
    <mergeCell ref="C177:E177"/>
    <mergeCell ref="C178:E178"/>
    <mergeCell ref="D155:M155"/>
    <mergeCell ref="D156:M156"/>
    <mergeCell ref="D157:M157"/>
    <mergeCell ref="D158:M158"/>
    <mergeCell ref="D159:M159"/>
    <mergeCell ref="K175:M175"/>
    <mergeCell ref="D152:M152"/>
    <mergeCell ref="B153:C153"/>
    <mergeCell ref="D153:F153"/>
    <mergeCell ref="G153:L153"/>
    <mergeCell ref="M153:N153"/>
    <mergeCell ref="D154:M154"/>
    <mergeCell ref="B146:N146"/>
    <mergeCell ref="D147:M147"/>
    <mergeCell ref="D148:M148"/>
    <mergeCell ref="D149:M149"/>
    <mergeCell ref="D150:M150"/>
    <mergeCell ref="D151:M151"/>
    <mergeCell ref="B138:N138"/>
    <mergeCell ref="B139:N139"/>
    <mergeCell ref="B141:N141"/>
    <mergeCell ref="C142:L142"/>
    <mergeCell ref="C144:N144"/>
    <mergeCell ref="B145:N145"/>
    <mergeCell ref="B129:N129"/>
    <mergeCell ref="C130:L130"/>
    <mergeCell ref="B132:N132"/>
    <mergeCell ref="B133:N133"/>
    <mergeCell ref="B135:N135"/>
    <mergeCell ref="B137:L137"/>
    <mergeCell ref="B106:L106"/>
    <mergeCell ref="B108:N108"/>
    <mergeCell ref="B110:N110"/>
    <mergeCell ref="B112:N112"/>
    <mergeCell ref="D117:M117"/>
    <mergeCell ref="D120:M120"/>
    <mergeCell ref="E86:G86"/>
    <mergeCell ref="E87:G87"/>
    <mergeCell ref="E88:G88"/>
    <mergeCell ref="G90:L90"/>
    <mergeCell ref="D93:F93"/>
    <mergeCell ref="G93:L93"/>
    <mergeCell ref="C81:F81"/>
    <mergeCell ref="G81:L81"/>
    <mergeCell ref="C82:M82"/>
    <mergeCell ref="C83:I83"/>
    <mergeCell ref="E84:G84"/>
    <mergeCell ref="E85:G85"/>
    <mergeCell ref="E73:G73"/>
    <mergeCell ref="E74:G74"/>
    <mergeCell ref="E75:G75"/>
    <mergeCell ref="E76:G76"/>
    <mergeCell ref="E77:G77"/>
    <mergeCell ref="E80:G80"/>
    <mergeCell ref="E67:G67"/>
    <mergeCell ref="E68:G68"/>
    <mergeCell ref="E69:G69"/>
    <mergeCell ref="E70:G70"/>
    <mergeCell ref="E71:G71"/>
    <mergeCell ref="E72:G72"/>
    <mergeCell ref="E61:G61"/>
    <mergeCell ref="E62:G62"/>
    <mergeCell ref="E63:G63"/>
    <mergeCell ref="E64:G64"/>
    <mergeCell ref="E65:G65"/>
    <mergeCell ref="E66:G66"/>
    <mergeCell ref="E55:G55"/>
    <mergeCell ref="E56:G56"/>
    <mergeCell ref="E57:G57"/>
    <mergeCell ref="E58:G58"/>
    <mergeCell ref="E59:G59"/>
    <mergeCell ref="E60:G60"/>
    <mergeCell ref="E49:G49"/>
    <mergeCell ref="E50:G50"/>
    <mergeCell ref="E51:G51"/>
    <mergeCell ref="E52:G52"/>
    <mergeCell ref="E53:G53"/>
    <mergeCell ref="E54:G54"/>
    <mergeCell ref="E44:F44"/>
    <mergeCell ref="Q44:T44"/>
    <mergeCell ref="E45:G45"/>
    <mergeCell ref="E46:G46"/>
    <mergeCell ref="E47:G47"/>
    <mergeCell ref="E48:G48"/>
    <mergeCell ref="C37:D37"/>
    <mergeCell ref="F37:K37"/>
    <mergeCell ref="L37:N37"/>
    <mergeCell ref="B39:L39"/>
    <mergeCell ref="B41:J41"/>
    <mergeCell ref="L41:N41"/>
    <mergeCell ref="C35:D35"/>
    <mergeCell ref="F35:K35"/>
    <mergeCell ref="L35:N35"/>
    <mergeCell ref="C36:D36"/>
    <mergeCell ref="F36:K36"/>
    <mergeCell ref="L36:N36"/>
    <mergeCell ref="C33:D33"/>
    <mergeCell ref="F33:K33"/>
    <mergeCell ref="L33:N33"/>
    <mergeCell ref="C34:D34"/>
    <mergeCell ref="F34:K34"/>
    <mergeCell ref="L34:N34"/>
    <mergeCell ref="C31:D31"/>
    <mergeCell ref="F31:K31"/>
    <mergeCell ref="L31:N31"/>
    <mergeCell ref="C32:D32"/>
    <mergeCell ref="F32:K32"/>
    <mergeCell ref="L32:N32"/>
    <mergeCell ref="B20:N21"/>
    <mergeCell ref="B23:N24"/>
    <mergeCell ref="B26:E26"/>
    <mergeCell ref="F26:K26"/>
    <mergeCell ref="B27:N28"/>
    <mergeCell ref="B30:E30"/>
    <mergeCell ref="F30:J30"/>
    <mergeCell ref="L30:N30"/>
    <mergeCell ref="C1:L7"/>
    <mergeCell ref="C10:M10"/>
    <mergeCell ref="C11:M11"/>
    <mergeCell ref="C12:M12"/>
    <mergeCell ref="C13:M13"/>
    <mergeCell ref="C14:M14"/>
  </mergeCells>
  <pageMargins left="0.7" right="0.7" top="0.75" bottom="0.75" header="0.3" footer="0.3"/>
  <pageSetup paperSize="9" scale="31" fitToHeight="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Full Estimate</vt:lpstr>
      <vt:lpstr>'Full Estimate'!Print_Area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 Fabel</dc:creator>
  <cp:lastModifiedBy>Emil Fabel</cp:lastModifiedBy>
  <dcterms:created xsi:type="dcterms:W3CDTF">2026-04-23T18:35:13Z</dcterms:created>
  <dcterms:modified xsi:type="dcterms:W3CDTF">2026-04-23T18:35:25Z</dcterms:modified>
</cp:coreProperties>
</file>